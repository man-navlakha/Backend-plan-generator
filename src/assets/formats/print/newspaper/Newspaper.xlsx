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otation" sheetId="1" r:id="rId4"/>
    <sheet state="visible" name="Recommended" sheetId="2" r:id="rId5"/>
    <sheet state="visible" name="Circulation" sheetId="3" r:id="rId6"/>
    <sheet state="visible" name="Case Study" sheetId="4" r:id="rId7"/>
    <sheet state="visible" name="Atlas" sheetId="5" r:id="rId8"/>
  </sheets>
  <definedNames/>
  <calcPr/>
  <extLst>
    <ext uri="GoogleSheetsCustomDataVersion2">
      <go:sheetsCustomData xmlns:go="http://customooxmlschemas.google.com/" r:id="rId9" roundtripDataChecksum="6QVuXwGTdfe5nC4tHFUgaCHwBFv3MTlaUgC4oRw53CM="/>
    </ext>
  </extLst>
</workbook>
</file>

<file path=xl/sharedStrings.xml><?xml version="1.0" encoding="utf-8"?>
<sst xmlns="http://schemas.openxmlformats.org/spreadsheetml/2006/main" count="159" uniqueCount="79">
  <si>
    <t>Proposal for Newspaper Advertising (Option 1)</t>
  </si>
  <si>
    <t>Sr. No.</t>
  </si>
  <si>
    <t>Publication</t>
  </si>
  <si>
    <t>Edition</t>
  </si>
  <si>
    <t>Approx. Circulations</t>
  </si>
  <si>
    <t>Size of the Advt.(HxW)</t>
  </si>
  <si>
    <t>Page Position</t>
  </si>
  <si>
    <t>Rate Per Insertion</t>
  </si>
  <si>
    <t>Offer Rate Per Insertion</t>
  </si>
  <si>
    <t>GST @ 5%</t>
  </si>
  <si>
    <t>Note</t>
  </si>
  <si>
    <t>Total Cost</t>
  </si>
  <si>
    <t>Readership</t>
  </si>
  <si>
    <t>CPR</t>
  </si>
  <si>
    <t>The readership data is based on a proxy of 3 individuals</t>
  </si>
  <si>
    <t>Case Study</t>
  </si>
  <si>
    <t>We recommend opting for all editions, as this approach provides package benefits and maximized reach.</t>
  </si>
  <si>
    <t>Brand</t>
  </si>
  <si>
    <t>Picture</t>
  </si>
  <si>
    <t>Editions</t>
  </si>
  <si>
    <t>Approx. Circulation</t>
  </si>
  <si>
    <t>Objective</t>
  </si>
  <si>
    <t>Solution</t>
  </si>
  <si>
    <t>Result</t>
  </si>
  <si>
    <t>Hindustan Times</t>
  </si>
  <si>
    <t>Delhi</t>
  </si>
  <si>
    <t>Mint</t>
  </si>
  <si>
    <t>Delhi + Chd</t>
  </si>
  <si>
    <t>Our Clientle</t>
  </si>
  <si>
    <t>Times of India</t>
  </si>
  <si>
    <t>Economic Times</t>
  </si>
  <si>
    <t>Mumbai</t>
  </si>
  <si>
    <t>Financial Express</t>
  </si>
  <si>
    <t>Business Standard (English)</t>
  </si>
  <si>
    <t>Ahmedabad</t>
  </si>
  <si>
    <t>Mumbai + Pune</t>
  </si>
  <si>
    <t>Bangalore</t>
  </si>
  <si>
    <t>Hyderabad</t>
  </si>
  <si>
    <t>Chandigarh</t>
  </si>
  <si>
    <t>Chennai</t>
  </si>
  <si>
    <t>Kolkata</t>
  </si>
  <si>
    <t>Bhopal</t>
  </si>
  <si>
    <t>Pune</t>
  </si>
  <si>
    <t>Bhubaneswar</t>
  </si>
  <si>
    <t>Lucknow</t>
  </si>
  <si>
    <t>Patna</t>
  </si>
  <si>
    <t>Bengaluru</t>
  </si>
  <si>
    <t>Proposal for Newspaper Advertising</t>
  </si>
  <si>
    <t>Kanpur</t>
  </si>
  <si>
    <t>Total</t>
  </si>
  <si>
    <t>Jaipur</t>
  </si>
  <si>
    <t xml:space="preserve">Total </t>
  </si>
  <si>
    <t>Kerala</t>
  </si>
  <si>
    <t>Kochi</t>
  </si>
  <si>
    <t>Bhubneshwar</t>
  </si>
  <si>
    <t>Introducing Atlas by Excellent Publicity</t>
  </si>
  <si>
    <t>MP</t>
  </si>
  <si>
    <t xml:space="preserve">The next evolution of adtech infrastructure and a unified command center that brings digital-level precision to every channel, both online and offline. Through a single, integrated dashboard, brands can plan, execute, and evaluate campaigns across all services, locations, and companies in one place, while gaining full transparency, real-time tracking, and performance visibility even for traditionally offline media. </t>
  </si>
  <si>
    <t>Gurgaon</t>
  </si>
  <si>
    <t>Coimbatore</t>
  </si>
  <si>
    <t>Madurai/Trichy</t>
  </si>
  <si>
    <t>Mysore</t>
  </si>
  <si>
    <t>Mangalore</t>
  </si>
  <si>
    <t>Terms &amp; Conditions</t>
  </si>
  <si>
    <t>1. Payment Terms : 100% Advance.</t>
  </si>
  <si>
    <t>2. Page Position confirmation will be subject to space availability on the scheduled release date, at the time of closing the issue.</t>
  </si>
  <si>
    <t>3. Publications reserve the right to carry a Multiple Jackets / Flaps on any page without prior intimation on any date.</t>
  </si>
  <si>
    <t>Goa</t>
  </si>
  <si>
    <t>4. Guaranteed jackets / Guaranteed Power Jackets / Innovations  will always take precedence.</t>
  </si>
  <si>
    <t>5. Positioning of Floating/Hybrid Jacket cannot be confirmed.</t>
  </si>
  <si>
    <t>Nagpur</t>
  </si>
  <si>
    <t xml:space="preserve">6. In case the creative when received qualifies for a co-branded ad then additional charges of the client rate will apply. </t>
  </si>
  <si>
    <t>7. Competitor clients can be carried at any point of time</t>
  </si>
  <si>
    <t>8. Full run ads will always take precedence for the same.</t>
  </si>
  <si>
    <t>9. Bigger/standard sizes will take precedence for the same.</t>
  </si>
  <si>
    <t xml:space="preserve">10. Taxes will be extra as per actual.                        </t>
  </si>
  <si>
    <t>11. Confirmation and creative should be sent two days prior the release date.</t>
  </si>
  <si>
    <t>12. We require the creative in High resolution PDF.</t>
  </si>
  <si>
    <t>13. Cancellation will be charged as per the optimus policy.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</si>
</sst>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₹&quot;\ #,##0"/>
    <numFmt numFmtId="165" formatCode="_ * #,##0_ ;_ * \-#,##0_ ;_ * &quot;-&quot;??_ ;_ @_ "/>
    <numFmt numFmtId="166" formatCode="0.0"/>
    <numFmt numFmtId="167" formatCode="&quot;₹&quot;\ #,##0.00"/>
    <numFmt numFmtId="168" formatCode="_(* #,##0_);_(* \(#,##0\);_(* &quot;-&quot;??_);_(@_)"/>
  </numFmts>
  <fonts count="14">
    <font>
      <sz val="11.0"/>
      <color theme="1"/>
      <name val="Aptos Narrow"/>
      <scheme val="minor"/>
    </font>
    <font>
      <b/>
      <sz val="14.0"/>
      <color theme="0"/>
      <name val="Calibri"/>
    </font>
    <font/>
    <font>
      <sz val="11.0"/>
      <color theme="1"/>
      <name val="Aptos Narrow"/>
    </font>
    <font>
      <sz val="11.0"/>
      <color theme="1"/>
      <name val="Calibri"/>
    </font>
    <font>
      <b/>
      <sz val="11.0"/>
      <color theme="0"/>
      <name val="Calibri"/>
    </font>
    <font>
      <sz val="12.0"/>
      <color theme="0"/>
      <name val="Aptos Narrow"/>
    </font>
    <font>
      <sz val="11.0"/>
      <color rgb="FF000000"/>
      <name val="Calibri"/>
    </font>
    <font>
      <b/>
      <sz val="16.0"/>
      <color theme="0"/>
      <name val="Aptos Narrow"/>
    </font>
    <font>
      <sz val="11.0"/>
      <color theme="0"/>
      <name val="Aptos Narrow"/>
    </font>
    <font>
      <sz val="12.0"/>
      <color theme="1"/>
      <name val="Aptos Narrow"/>
    </font>
    <font>
      <sz val="14.0"/>
      <color theme="0"/>
      <name val="Calibri"/>
    </font>
    <font>
      <b/>
      <sz val="12.0"/>
      <color theme="0"/>
      <name val="Calibri"/>
    </font>
    <font>
      <b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510C2C"/>
        <bgColor rgb="FF510C2C"/>
      </patternFill>
    </fill>
    <fill>
      <patternFill patternType="solid">
        <fgColor theme="0"/>
        <bgColor theme="0"/>
      </patternFill>
    </fill>
    <fill>
      <patternFill patternType="solid">
        <fgColor rgb="FF510C3C"/>
        <bgColor rgb="FF510C3C"/>
      </patternFill>
    </fill>
  </fills>
  <borders count="67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</border>
    <border>
      <top/>
    </border>
    <border>
      <right/>
      <top/>
    </border>
    <border>
      <left/>
      <right/>
      <top/>
      <bottom/>
    </border>
    <border>
      <left/>
      <bottom/>
    </border>
    <border>
      <bottom/>
    </border>
    <border>
      <right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0" fillId="0" fontId="3" numFmtId="0" xfId="0" applyAlignment="1" applyFont="1">
      <alignment vertical="center"/>
    </xf>
    <xf borderId="3" fillId="0" fontId="2" numFmtId="0" xfId="0" applyBorder="1" applyFont="1"/>
    <xf borderId="0" fillId="0" fontId="4" numFmtId="0" xfId="0" applyFont="1"/>
    <xf borderId="4" fillId="2" fontId="5" numFmtId="3" xfId="0" applyAlignment="1" applyBorder="1" applyFont="1" applyNumberFormat="1">
      <alignment horizontal="center" shrinkToFit="0" vertical="center" wrapText="1"/>
    </xf>
    <xf borderId="5" fillId="2" fontId="5" numFmtId="3" xfId="0" applyAlignment="1" applyBorder="1" applyFont="1" applyNumberFormat="1">
      <alignment horizontal="center" shrinkToFit="0" vertical="center" wrapText="1"/>
    </xf>
    <xf borderId="6" fillId="2" fontId="5" numFmtId="3" xfId="0" applyAlignment="1" applyBorder="1" applyFont="1" applyNumberForma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2" fontId="5" numFmtId="3" xfId="0" applyAlignment="1" applyBorder="1" applyFont="1" applyNumberFormat="1">
      <alignment horizontal="center" shrinkToFit="0" vertical="center" wrapText="1"/>
    </xf>
    <xf borderId="6" fillId="2" fontId="6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center" shrinkToFit="0" vertical="center" wrapText="1"/>
    </xf>
    <xf borderId="5" fillId="0" fontId="4" numFmtId="3" xfId="0" applyAlignment="1" applyBorder="1" applyFont="1" applyNumberFormat="1">
      <alignment horizontal="center" shrinkToFit="0" vertical="center" wrapText="1"/>
    </xf>
    <xf borderId="5" fillId="3" fontId="4" numFmtId="0" xfId="0" applyAlignment="1" applyBorder="1" applyFill="1" applyFont="1">
      <alignment horizontal="center" shrinkToFit="0" vertical="center" wrapText="1"/>
    </xf>
    <xf borderId="5" fillId="3" fontId="7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left" vertical="center"/>
    </xf>
    <xf borderId="5" fillId="3" fontId="7" numFmtId="164" xfId="0" applyAlignment="1" applyBorder="1" applyFont="1" applyNumberFormat="1">
      <alignment horizontal="center" shrinkToFit="0" vertical="center" wrapText="1"/>
    </xf>
    <xf borderId="5" fillId="0" fontId="7" numFmtId="164" xfId="0" applyAlignment="1" applyBorder="1" applyFont="1" applyNumberFormat="1">
      <alignment horizontal="center" shrinkToFit="0" vertical="center" wrapText="1"/>
    </xf>
    <xf borderId="5" fillId="3" fontId="4" numFmtId="164" xfId="0" applyAlignment="1" applyBorder="1" applyFont="1" applyNumberFormat="1">
      <alignment horizontal="center" shrinkToFit="0" vertical="center" wrapText="1"/>
    </xf>
    <xf borderId="5" fillId="3" fontId="4" numFmtId="165" xfId="0" applyAlignment="1" applyBorder="1" applyFont="1" applyNumberFormat="1">
      <alignment horizontal="center" shrinkToFit="0" vertical="center" wrapText="1"/>
    </xf>
    <xf borderId="10" fillId="4" fontId="8" numFmtId="0" xfId="0" applyAlignment="1" applyBorder="1" applyFill="1" applyFont="1">
      <alignment horizontal="center" vertical="center"/>
    </xf>
    <xf borderId="5" fillId="3" fontId="4" numFmtId="166" xfId="0" applyAlignment="1" applyBorder="1" applyFont="1" applyNumberFormat="1">
      <alignment horizontal="center" shrinkToFit="0" vertical="center" wrapText="1"/>
    </xf>
    <xf borderId="11" fillId="0" fontId="2" numFmtId="0" xfId="0" applyBorder="1" applyFont="1"/>
    <xf borderId="0" fillId="0" fontId="4" numFmtId="0" xfId="0" applyAlignment="1" applyFont="1">
      <alignment shrinkToFit="0" wrapText="1"/>
    </xf>
    <xf borderId="12" fillId="0" fontId="2" numFmtId="0" xfId="0" applyBorder="1" applyFont="1"/>
    <xf borderId="6" fillId="4" fontId="9" numFmtId="0" xfId="0" applyAlignment="1" applyBorder="1" applyFont="1">
      <alignment horizontal="center"/>
    </xf>
    <xf borderId="5" fillId="0" fontId="7" numFmtId="0" xfId="0" applyAlignment="1" applyBorder="1" applyFont="1">
      <alignment horizontal="center" shrinkToFit="0" vertical="center" wrapText="1"/>
    </xf>
    <xf borderId="5" fillId="0" fontId="4" numFmtId="164" xfId="0" applyAlignment="1" applyBorder="1" applyFont="1" applyNumberFormat="1">
      <alignment horizontal="center" shrinkToFit="0" vertical="center" wrapText="1"/>
    </xf>
    <xf borderId="5" fillId="0" fontId="4" numFmtId="165" xfId="0" applyAlignment="1" applyBorder="1" applyFont="1" applyNumberFormat="1">
      <alignment horizontal="center" shrinkToFit="0" vertical="center" wrapText="1"/>
    </xf>
    <xf borderId="13" fillId="0" fontId="3" numFmtId="0" xfId="0" applyAlignment="1" applyBorder="1" applyFont="1">
      <alignment horizontal="center" vertical="center"/>
    </xf>
    <xf borderId="5" fillId="0" fontId="4" numFmtId="166" xfId="0" applyAlignment="1" applyBorder="1" applyFont="1" applyNumberFormat="1">
      <alignment horizontal="center" shrinkToFit="0" vertical="center" wrapText="1"/>
    </xf>
    <xf borderId="14" fillId="0" fontId="2" numFmtId="0" xfId="0" applyBorder="1" applyFont="1"/>
    <xf borderId="15" fillId="0" fontId="2" numFmtId="0" xfId="0" applyBorder="1" applyFont="1"/>
    <xf borderId="5" fillId="0" fontId="4" numFmtId="0" xfId="0" applyAlignment="1" applyBorder="1" applyFont="1">
      <alignment shrinkToFit="0" vertical="center" wrapText="1"/>
    </xf>
    <xf borderId="13" fillId="0" fontId="3" numFmtId="0" xfId="0" applyAlignment="1" applyBorder="1" applyFont="1">
      <alignment horizontal="center"/>
    </xf>
    <xf borderId="16" fillId="2" fontId="9" numFmtId="0" xfId="0" applyAlignment="1" applyBorder="1" applyFont="1">
      <alignment horizontal="center" vertical="center"/>
    </xf>
    <xf borderId="5" fillId="0" fontId="4" numFmtId="0" xfId="0" applyAlignment="1" applyBorder="1" applyFont="1">
      <alignment shrinkToFit="0" wrapText="1"/>
    </xf>
    <xf borderId="17" fillId="2" fontId="9" numFmtId="0" xfId="0" applyAlignment="1" applyBorder="1" applyFont="1">
      <alignment horizontal="center" vertical="center"/>
    </xf>
    <xf borderId="17" fillId="2" fontId="9" numFmtId="0" xfId="0" applyAlignment="1" applyBorder="1" applyFont="1">
      <alignment horizontal="center" shrinkToFit="0" vertical="center" wrapText="1"/>
    </xf>
    <xf borderId="18" fillId="2" fontId="9" numFmtId="0" xfId="0" applyAlignment="1" applyBorder="1" applyFont="1">
      <alignment horizontal="center" vertical="center"/>
    </xf>
    <xf borderId="19" fillId="0" fontId="2" numFmtId="0" xfId="0" applyBorder="1" applyFont="1"/>
    <xf borderId="16" fillId="2" fontId="9" numFmtId="0" xfId="0" applyAlignment="1" applyBorder="1" applyFont="1">
      <alignment horizontal="center" shrinkToFit="0" vertical="center" wrapText="1"/>
    </xf>
    <xf borderId="20" fillId="0" fontId="2" numFmtId="0" xfId="0" applyBorder="1" applyFont="1"/>
    <xf borderId="18" fillId="2" fontId="9" numFmtId="0" xfId="0" applyAlignment="1" applyBorder="1" applyFont="1">
      <alignment horizontal="center" shrinkToFit="0" vertical="center" wrapText="1"/>
    </xf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0" fontId="3" numFmtId="0" xfId="0" applyAlignment="1" applyBorder="1" applyFont="1">
      <alignment horizontal="center" vertical="center"/>
    </xf>
    <xf borderId="28" fillId="0" fontId="10" numFmtId="0" xfId="0" applyAlignment="1" applyBorder="1" applyFont="1">
      <alignment horizontal="center" vertical="center"/>
    </xf>
    <xf borderId="28" fillId="0" fontId="3" numFmtId="0" xfId="0" applyAlignment="1" applyBorder="1" applyFont="1">
      <alignment horizontal="center" vertical="center"/>
    </xf>
    <xf borderId="29" fillId="0" fontId="3" numFmtId="0" xfId="0" applyAlignment="1" applyBorder="1" applyFont="1">
      <alignment horizontal="center" vertical="center"/>
    </xf>
    <xf borderId="27" fillId="0" fontId="3" numFmtId="0" xfId="0" applyAlignment="1" applyBorder="1" applyFont="1">
      <alignment horizontal="center" shrinkToFit="0" vertical="center" wrapText="1"/>
    </xf>
    <xf borderId="28" fillId="0" fontId="10" numFmtId="0" xfId="0" applyAlignment="1" applyBorder="1" applyFont="1">
      <alignment horizontal="center" shrinkToFit="0" vertical="center" wrapText="1"/>
    </xf>
    <xf borderId="28" fillId="0" fontId="3" numFmtId="0" xfId="0" applyAlignment="1" applyBorder="1" applyFont="1">
      <alignment horizontal="center" shrinkToFit="0" vertical="center" wrapText="1"/>
    </xf>
    <xf borderId="29" fillId="0" fontId="3" numFmtId="0" xfId="0" applyAlignment="1" applyBorder="1" applyFont="1">
      <alignment horizontal="center" shrinkToFit="0" vertical="center" wrapText="1"/>
    </xf>
    <xf borderId="30" fillId="4" fontId="11" numFmtId="0" xfId="0" applyAlignment="1" applyBorder="1" applyFont="1">
      <alignment horizontal="center"/>
    </xf>
    <xf borderId="31" fillId="0" fontId="2" numFmtId="0" xfId="0" applyBorder="1" applyFont="1"/>
    <xf borderId="32" fillId="0" fontId="2" numFmtId="0" xfId="0" applyBorder="1" applyFont="1"/>
    <xf borderId="16" fillId="0" fontId="3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center"/>
    </xf>
    <xf borderId="28" fillId="0" fontId="10" numFmtId="165" xfId="0" applyAlignment="1" applyBorder="1" applyFont="1" applyNumberFormat="1">
      <alignment horizontal="center" shrinkToFit="0" vertical="center" wrapText="1"/>
    </xf>
    <xf borderId="27" fillId="0" fontId="2" numFmtId="0" xfId="0" applyBorder="1" applyFont="1"/>
    <xf borderId="5" fillId="0" fontId="10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5" fillId="0" fontId="10" numFmtId="165" xfId="0" applyAlignment="1" applyBorder="1" applyFont="1" applyNumberFormat="1">
      <alignment horizontal="center" shrinkToFit="0" vertical="center" wrapText="1"/>
    </xf>
    <xf borderId="33" fillId="0" fontId="2" numFmtId="0" xfId="0" applyBorder="1" applyFont="1"/>
    <xf borderId="34" fillId="2" fontId="1" numFmtId="0" xfId="0" applyAlignment="1" applyBorder="1" applyFont="1">
      <alignment horizontal="center" vertical="center"/>
    </xf>
    <xf borderId="35" fillId="0" fontId="2" numFmtId="0" xfId="0" applyBorder="1" applyFont="1"/>
    <xf borderId="36" fillId="0" fontId="3" numFmtId="0" xfId="0" applyAlignment="1" applyBorder="1" applyFont="1">
      <alignment horizontal="center" vertical="center"/>
    </xf>
    <xf borderId="37" fillId="0" fontId="2" numFmtId="0" xfId="0" applyBorder="1" applyFont="1"/>
    <xf borderId="38" fillId="2" fontId="12" numFmtId="3" xfId="0" applyAlignment="1" applyBorder="1" applyFont="1" applyNumberFormat="1">
      <alignment horizontal="center" shrinkToFit="0" vertical="center" wrapText="1"/>
    </xf>
    <xf borderId="39" fillId="2" fontId="12" numFmtId="3" xfId="0" applyAlignment="1" applyBorder="1" applyFont="1" applyNumberFormat="1">
      <alignment horizontal="center" shrinkToFit="0" vertical="center" wrapText="1"/>
    </xf>
    <xf borderId="40" fillId="2" fontId="12" numFmtId="3" xfId="0" applyAlignment="1" applyBorder="1" applyFont="1" applyNumberFormat="1">
      <alignment horizontal="center" shrinkToFit="0" vertical="center" wrapText="1"/>
    </xf>
    <xf borderId="41" fillId="0" fontId="2" numFmtId="0" xfId="0" applyBorder="1" applyFont="1"/>
    <xf borderId="42" fillId="2" fontId="12" numFmtId="3" xfId="0" applyAlignment="1" applyBorder="1" applyFont="1" applyNumberFormat="1">
      <alignment horizontal="center" shrinkToFit="0" vertical="center" wrapText="1"/>
    </xf>
    <xf borderId="43" fillId="0" fontId="3" numFmtId="0" xfId="0" applyAlignment="1" applyBorder="1" applyFont="1">
      <alignment horizontal="center" vertical="center"/>
    </xf>
    <xf borderId="44" fillId="0" fontId="2" numFmtId="0" xfId="0" applyBorder="1" applyFont="1"/>
    <xf borderId="5" fillId="2" fontId="12" numFmtId="3" xfId="0" applyAlignment="1" applyBorder="1" applyFont="1" applyNumberFormat="1">
      <alignment horizontal="center" shrinkToFit="0" vertical="center" wrapText="1"/>
    </xf>
    <xf borderId="9" fillId="2" fontId="12" numFmtId="3" xfId="0" applyAlignment="1" applyBorder="1" applyFont="1" applyNumberFormat="1">
      <alignment horizontal="center" shrinkToFit="0" vertical="center" wrapText="1"/>
    </xf>
    <xf borderId="45" fillId="0" fontId="4" numFmtId="0" xfId="0" applyAlignment="1" applyBorder="1" applyFont="1">
      <alignment horizontal="center" vertical="center"/>
    </xf>
    <xf borderId="46" fillId="0" fontId="3" numFmtId="0" xfId="0" applyAlignment="1" applyBorder="1" applyFont="1">
      <alignment horizontal="center" vertical="center"/>
    </xf>
    <xf borderId="47" fillId="0" fontId="4" numFmtId="0" xfId="0" applyAlignment="1" applyBorder="1" applyFont="1">
      <alignment horizontal="center" shrinkToFit="0" vertical="center" wrapText="1"/>
    </xf>
    <xf borderId="48" fillId="0" fontId="3" numFmtId="0" xfId="0" applyAlignment="1" applyBorder="1" applyFont="1">
      <alignment horizontal="center" vertical="center"/>
    </xf>
    <xf borderId="5" fillId="0" fontId="4" numFmtId="164" xfId="0" applyAlignment="1" applyBorder="1" applyFont="1" applyNumberFormat="1">
      <alignment horizontal="center" vertical="center"/>
    </xf>
    <xf borderId="6" fillId="0" fontId="4" numFmtId="164" xfId="0" applyAlignment="1" applyBorder="1" applyFont="1" applyNumberFormat="1">
      <alignment horizontal="center" vertical="center"/>
    </xf>
    <xf borderId="47" fillId="0" fontId="4" numFmtId="165" xfId="0" applyAlignment="1" applyBorder="1" applyFont="1" applyNumberFormat="1">
      <alignment horizontal="center" vertical="center"/>
    </xf>
    <xf borderId="5" fillId="0" fontId="4" numFmtId="166" xfId="0" applyAlignment="1" applyBorder="1" applyFont="1" applyNumberFormat="1">
      <alignment horizontal="center" vertical="center"/>
    </xf>
    <xf borderId="28" fillId="0" fontId="2" numFmtId="0" xfId="0" applyBorder="1" applyFont="1"/>
    <xf borderId="5" fillId="0" fontId="3" numFmtId="165" xfId="0" applyAlignment="1" applyBorder="1" applyFont="1" applyNumberFormat="1">
      <alignment horizontal="center" shrinkToFit="0" vertical="center" wrapText="1"/>
    </xf>
    <xf borderId="49" fillId="4" fontId="11" numFmtId="0" xfId="0" applyAlignment="1" applyBorder="1" applyFont="1">
      <alignment horizontal="center" vertical="center"/>
    </xf>
    <xf borderId="50" fillId="0" fontId="2" numFmtId="0" xfId="0" applyBorder="1" applyFont="1"/>
    <xf borderId="47" fillId="0" fontId="4" numFmtId="3" xfId="0" applyAlignment="1" applyBorder="1" applyFont="1" applyNumberFormat="1">
      <alignment horizontal="center" vertical="center"/>
    </xf>
    <xf borderId="51" fillId="0" fontId="2" numFmtId="0" xfId="0" applyBorder="1" applyFont="1"/>
    <xf borderId="52" fillId="4" fontId="11" numFmtId="0" xfId="0" applyAlignment="1" applyBorder="1" applyFont="1">
      <alignment horizontal="center" vertical="center"/>
    </xf>
    <xf borderId="53" fillId="0" fontId="2" numFmtId="0" xfId="0" applyBorder="1" applyFont="1"/>
    <xf borderId="54" fillId="0" fontId="2" numFmtId="0" xfId="0" applyBorder="1" applyFont="1"/>
    <xf borderId="36" fillId="0" fontId="3" numFmtId="0" xfId="0" applyAlignment="1" applyBorder="1" applyFont="1">
      <alignment horizontal="center" shrinkToFit="0" vertical="center" wrapText="1"/>
    </xf>
    <xf borderId="55" fillId="0" fontId="2" numFmtId="0" xfId="0" applyBorder="1" applyFont="1"/>
    <xf borderId="4" fillId="0" fontId="4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5" fillId="0" fontId="4" numFmtId="3" xfId="0" applyAlignment="1" applyBorder="1" applyFont="1" applyNumberFormat="1">
      <alignment horizontal="center" vertical="center"/>
    </xf>
    <xf borderId="5" fillId="0" fontId="4" numFmtId="2" xfId="0" applyAlignment="1" applyBorder="1" applyFont="1" applyNumberFormat="1">
      <alignment horizontal="center" vertical="center"/>
    </xf>
    <xf borderId="5" fillId="0" fontId="4" numFmtId="0" xfId="0" applyAlignment="1" applyBorder="1" applyFont="1">
      <alignment horizontal="center"/>
    </xf>
    <xf borderId="43" fillId="0" fontId="3" numFmtId="0" xfId="0" applyAlignment="1" applyBorder="1" applyFont="1">
      <alignment horizontal="center" shrinkToFit="0" vertical="center" wrapText="1"/>
    </xf>
    <xf borderId="48" fillId="0" fontId="3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vertical="center"/>
    </xf>
    <xf borderId="56" fillId="0" fontId="4" numFmtId="0" xfId="0" applyAlignment="1" applyBorder="1" applyFont="1">
      <alignment horizontal="center" vertical="center"/>
    </xf>
    <xf borderId="57" fillId="0" fontId="4" numFmtId="0" xfId="0" applyAlignment="1" applyBorder="1" applyFont="1">
      <alignment horizontal="center" vertical="center"/>
    </xf>
    <xf borderId="0" fillId="0" fontId="3" numFmtId="0" xfId="0" applyAlignment="1" applyFont="1">
      <alignment shrinkToFit="0" vertical="center" wrapText="1"/>
    </xf>
    <xf borderId="57" fillId="0" fontId="4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57" fillId="0" fontId="7" numFmtId="0" xfId="0" applyAlignment="1" applyBorder="1" applyFont="1">
      <alignment horizontal="center" shrinkToFit="0" vertical="center" wrapText="1"/>
    </xf>
    <xf borderId="57" fillId="0" fontId="7" numFmtId="164" xfId="0" applyAlignment="1" applyBorder="1" applyFont="1" applyNumberFormat="1">
      <alignment horizontal="center" shrinkToFit="0" vertical="center" wrapText="1"/>
    </xf>
    <xf borderId="57" fillId="0" fontId="4" numFmtId="164" xfId="0" applyAlignment="1" applyBorder="1" applyFont="1" applyNumberFormat="1">
      <alignment horizontal="center" vertical="center"/>
    </xf>
    <xf borderId="58" fillId="0" fontId="4" numFmtId="164" xfId="0" applyAlignment="1" applyBorder="1" applyFont="1" applyNumberFormat="1">
      <alignment horizontal="center" vertical="center"/>
    </xf>
    <xf borderId="43" fillId="2" fontId="5" numFmtId="0" xfId="0" applyAlignment="1" applyBorder="1" applyFont="1">
      <alignment horizontal="center" vertical="center"/>
    </xf>
    <xf borderId="59" fillId="0" fontId="2" numFmtId="0" xfId="0" applyBorder="1" applyFont="1"/>
    <xf borderId="46" fillId="0" fontId="13" numFmtId="164" xfId="0" applyAlignment="1" applyBorder="1" applyFont="1" applyNumberFormat="1">
      <alignment horizontal="center" shrinkToFit="0" vertical="center" wrapText="1"/>
    </xf>
    <xf borderId="48" fillId="0" fontId="13" numFmtId="164" xfId="0" applyAlignment="1" applyBorder="1" applyFont="1" applyNumberFormat="1">
      <alignment horizontal="center" shrinkToFit="0" vertical="center" wrapText="1"/>
    </xf>
    <xf borderId="0" fillId="0" fontId="4" numFmtId="3" xfId="0" applyAlignment="1" applyFont="1" applyNumberFormat="1">
      <alignment horizontal="center" vertical="center"/>
    </xf>
    <xf borderId="0" fillId="0" fontId="4" numFmtId="167" xfId="0" applyAlignment="1" applyFont="1" applyNumberFormat="1">
      <alignment horizontal="center" vertical="center"/>
    </xf>
    <xf borderId="49" fillId="2" fontId="12" numFmtId="168" xfId="0" applyAlignment="1" applyBorder="1" applyFont="1" applyNumberFormat="1">
      <alignment horizontal="left" vertical="center"/>
    </xf>
    <xf borderId="60" fillId="0" fontId="4" numFmtId="3" xfId="0" applyAlignment="1" applyBorder="1" applyFont="1" applyNumberFormat="1">
      <alignment horizontal="left" vertical="center"/>
    </xf>
    <xf borderId="61" fillId="0" fontId="2" numFmtId="0" xfId="0" applyBorder="1" applyFont="1"/>
    <xf borderId="62" fillId="0" fontId="4" numFmtId="3" xfId="0" applyAlignment="1" applyBorder="1" applyFont="1" applyNumberFormat="1">
      <alignment horizontal="left" vertical="center"/>
    </xf>
    <xf borderId="63" fillId="0" fontId="2" numFmtId="0" xfId="0" applyBorder="1" applyFont="1"/>
    <xf borderId="62" fillId="0" fontId="4" numFmtId="3" xfId="0" applyAlignment="1" applyBorder="1" applyFont="1" applyNumberFormat="1">
      <alignment horizontal="left" shrinkToFit="0" vertical="center" wrapText="1"/>
    </xf>
    <xf borderId="64" fillId="0" fontId="4" numFmtId="3" xfId="0" applyAlignment="1" applyBorder="1" applyFont="1" applyNumberFormat="1">
      <alignment horizontal="left" shrinkToFit="0" vertical="center" wrapText="1"/>
    </xf>
    <xf borderId="65" fillId="0" fontId="2" numFmtId="0" xfId="0" applyBorder="1" applyFont="1"/>
    <xf borderId="6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1" Type="http://schemas.openxmlformats.org/officeDocument/2006/relationships/image" Target="../media/image16.jpg"/><Relationship Id="rId10" Type="http://schemas.openxmlformats.org/officeDocument/2006/relationships/image" Target="../media/image11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9" Type="http://schemas.openxmlformats.org/officeDocument/2006/relationships/image" Target="../media/image15.png"/><Relationship Id="rId15" Type="http://schemas.openxmlformats.org/officeDocument/2006/relationships/image" Target="../media/image19.png"/><Relationship Id="rId14" Type="http://schemas.openxmlformats.org/officeDocument/2006/relationships/image" Target="../media/image10.png"/><Relationship Id="rId16" Type="http://schemas.openxmlformats.org/officeDocument/2006/relationships/image" Target="../media/image14.jpg"/><Relationship Id="rId5" Type="http://schemas.openxmlformats.org/officeDocument/2006/relationships/image" Target="../media/image6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9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4" name="Shape 4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4" name="Shape 4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4" name="Shape 4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4" name="Shape 4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4" name="Shape 4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4" name="Shape 4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4" name="Shape 4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4" name="Shape 4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581025</xdr:colOff>
      <xdr:row>13</xdr:row>
      <xdr:rowOff>0</xdr:rowOff>
    </xdr:from>
    <xdr:ext cx="85725" cy="352425"/>
    <xdr:sp>
      <xdr:nvSpPr>
        <xdr:cNvPr id="3" name="Shape 3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6" name="Shape 6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6" name="Shape 6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6" name="Shape 6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6" name="Shape 6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6" name="Shape 6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6" name="Shape 6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6" name="Shape 6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6" name="Shape 6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85725" cy="352425"/>
    <xdr:sp>
      <xdr:nvSpPr>
        <xdr:cNvPr id="5" name="Shape 5"/>
        <xdr:cNvSpPr txBox="1"/>
      </xdr:nvSpPr>
      <xdr:spPr>
        <a:xfrm>
          <a:off x="5307900" y="3608550"/>
          <a:ext cx="76200" cy="342901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552450</xdr:colOff>
      <xdr:row>0</xdr:row>
      <xdr:rowOff>180975</xdr:rowOff>
    </xdr:from>
    <xdr:ext cx="2152650" cy="18097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457200</xdr:colOff>
      <xdr:row>16</xdr:row>
      <xdr:rowOff>133350</xdr:rowOff>
    </xdr:from>
    <xdr:ext cx="742950" cy="6953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371475</xdr:colOff>
      <xdr:row>17</xdr:row>
      <xdr:rowOff>114300</xdr:rowOff>
    </xdr:from>
    <xdr:ext cx="1266825" cy="4095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22</xdr:row>
      <xdr:rowOff>0</xdr:rowOff>
    </xdr:from>
    <xdr:ext cx="1143000" cy="53340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26</xdr:row>
      <xdr:rowOff>95250</xdr:rowOff>
    </xdr:from>
    <xdr:ext cx="847725" cy="838200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22</xdr:row>
      <xdr:rowOff>0</xdr:rowOff>
    </xdr:from>
    <xdr:ext cx="66675" cy="38100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276225</xdr:colOff>
      <xdr:row>26</xdr:row>
      <xdr:rowOff>28575</xdr:rowOff>
    </xdr:from>
    <xdr:ext cx="1266825" cy="847725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438150</xdr:colOff>
      <xdr:row>21</xdr:row>
      <xdr:rowOff>114300</xdr:rowOff>
    </xdr:from>
    <xdr:ext cx="895350" cy="790575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438150</xdr:colOff>
      <xdr:row>22</xdr:row>
      <xdr:rowOff>66675</xdr:rowOff>
    </xdr:from>
    <xdr:ext cx="1095375" cy="419100"/>
    <xdr:pic>
      <xdr:nvPicPr>
        <xdr:cNvPr id="0" name="image9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85725</xdr:colOff>
      <xdr:row>22</xdr:row>
      <xdr:rowOff>38100</xdr:rowOff>
    </xdr:from>
    <xdr:ext cx="1247775" cy="485775"/>
    <xdr:pic>
      <xdr:nvPicPr>
        <xdr:cNvPr id="0" name="image1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28</xdr:row>
      <xdr:rowOff>0</xdr:rowOff>
    </xdr:from>
    <xdr:ext cx="1362075" cy="295275"/>
    <xdr:pic>
      <xdr:nvPicPr>
        <xdr:cNvPr id="0" name="image1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514350</xdr:colOff>
      <xdr:row>26</xdr:row>
      <xdr:rowOff>142875</xdr:rowOff>
    </xdr:from>
    <xdr:ext cx="847725" cy="733425"/>
    <xdr:pic>
      <xdr:nvPicPr>
        <xdr:cNvPr id="0" name="image16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180975</xdr:colOff>
      <xdr:row>16</xdr:row>
      <xdr:rowOff>85725</xdr:rowOff>
    </xdr:from>
    <xdr:ext cx="914400" cy="866775"/>
    <xdr:pic>
      <xdr:nvPicPr>
        <xdr:cNvPr id="0" name="image1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438150</xdr:colOff>
      <xdr:row>28</xdr:row>
      <xdr:rowOff>0</xdr:rowOff>
    </xdr:from>
    <xdr:ext cx="1066800" cy="285750"/>
    <xdr:pic>
      <xdr:nvPicPr>
        <xdr:cNvPr id="0" name="image1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323850</xdr:colOff>
      <xdr:row>17</xdr:row>
      <xdr:rowOff>0</xdr:rowOff>
    </xdr:from>
    <xdr:ext cx="1143000" cy="685800"/>
    <xdr:pic>
      <xdr:nvPicPr>
        <xdr:cNvPr id="0" name="image10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295275</xdr:colOff>
      <xdr:row>17</xdr:row>
      <xdr:rowOff>47625</xdr:rowOff>
    </xdr:from>
    <xdr:ext cx="1114425" cy="561975"/>
    <xdr:pic>
      <xdr:nvPicPr>
        <xdr:cNvPr id="0" name="image1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371475</xdr:colOff>
      <xdr:row>21</xdr:row>
      <xdr:rowOff>28575</xdr:rowOff>
    </xdr:from>
    <xdr:ext cx="1114425" cy="1000125"/>
    <xdr:pic>
      <xdr:nvPicPr>
        <xdr:cNvPr id="0" name="image1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438150</xdr:colOff>
      <xdr:row>6</xdr:row>
      <xdr:rowOff>0</xdr:rowOff>
    </xdr:from>
    <xdr:ext cx="219075" cy="276225"/>
    <xdr:sp>
      <xdr:nvSpPr>
        <xdr:cNvPr id="7" name="Shape 7"/>
        <xdr:cNvSpPr/>
      </xdr:nvSpPr>
      <xdr:spPr>
        <a:xfrm>
          <a:off x="5241225" y="3646650"/>
          <a:ext cx="209550" cy="266700"/>
        </a:xfrm>
        <a:prstGeom prst="rect">
          <a:avLst/>
        </a:prstGeom>
        <a:solidFill>
          <a:srgbClr val="F5F5F5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190500</xdr:colOff>
      <xdr:row>5</xdr:row>
      <xdr:rowOff>142875</xdr:rowOff>
    </xdr:from>
    <xdr:ext cx="7305675" cy="4400550"/>
    <xdr:grpSp>
      <xdr:nvGrpSpPr>
        <xdr:cNvPr id="2" name="Shape 2"/>
        <xdr:cNvGrpSpPr/>
      </xdr:nvGrpSpPr>
      <xdr:grpSpPr>
        <a:xfrm>
          <a:off x="1693163" y="1579725"/>
          <a:ext cx="7305675" cy="4400550"/>
          <a:chOff x="1693163" y="1579725"/>
          <a:chExt cx="7305675" cy="4400550"/>
        </a:xfrm>
      </xdr:grpSpPr>
      <xdr:grpSp>
        <xdr:nvGrpSpPr>
          <xdr:cNvPr id="8" name="Shape 8"/>
          <xdr:cNvGrpSpPr/>
        </xdr:nvGrpSpPr>
        <xdr:grpSpPr>
          <a:xfrm>
            <a:off x="1693163" y="1579725"/>
            <a:ext cx="7305675" cy="4400550"/>
            <a:chOff x="7113693" y="1069943"/>
            <a:chExt cx="7105541" cy="4441982"/>
          </a:xfrm>
        </xdr:grpSpPr>
        <xdr:sp>
          <xdr:nvSpPr>
            <xdr:cNvPr id="9" name="Shape 9"/>
            <xdr:cNvSpPr/>
          </xdr:nvSpPr>
          <xdr:spPr>
            <a:xfrm>
              <a:off x="7113693" y="1069943"/>
              <a:ext cx="7105525" cy="44419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0" name="Shape 10"/>
            <xdr:cNvPicPr preferRelativeResize="0"/>
          </xdr:nvPicPr>
          <xdr:blipFill rotWithShape="1">
            <a:blip r:embed="rId1">
              <a:alphaModFix/>
            </a:blip>
            <a:srcRect b="0" l="5281" r="5970" t="0"/>
            <a:stretch/>
          </xdr:blipFill>
          <xdr:spPr>
            <a:xfrm>
              <a:off x="7113693" y="1069943"/>
              <a:ext cx="7105541" cy="4441982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11" name="Shape 11"/>
            <xdr:cNvSpPr/>
          </xdr:nvSpPr>
          <xdr:spPr>
            <a:xfrm>
              <a:off x="12976860" y="1135380"/>
              <a:ext cx="1127760" cy="274320"/>
            </a:xfrm>
            <a:prstGeom prst="rect">
              <a:avLst/>
            </a:prstGeom>
            <a:solidFill>
              <a:srgbClr val="F5F5F5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  <xdr:oneCellAnchor>
    <xdr:from>
      <xdr:col>0</xdr:col>
      <xdr:colOff>152400</xdr:colOff>
      <xdr:row>5</xdr:row>
      <xdr:rowOff>142875</xdr:rowOff>
    </xdr:from>
    <xdr:ext cx="7743825" cy="4410075"/>
    <xdr:grpSp>
      <xdr:nvGrpSpPr>
        <xdr:cNvPr id="2" name="Shape 2"/>
        <xdr:cNvGrpSpPr/>
      </xdr:nvGrpSpPr>
      <xdr:grpSpPr>
        <a:xfrm>
          <a:off x="1474088" y="1574963"/>
          <a:ext cx="7743825" cy="4410075"/>
          <a:chOff x="1474088" y="1574963"/>
          <a:chExt cx="7743825" cy="4410075"/>
        </a:xfrm>
      </xdr:grpSpPr>
      <xdr:grpSp>
        <xdr:nvGrpSpPr>
          <xdr:cNvPr id="12" name="Shape 12"/>
          <xdr:cNvGrpSpPr/>
        </xdr:nvGrpSpPr>
        <xdr:grpSpPr>
          <a:xfrm>
            <a:off x="1474088" y="1574963"/>
            <a:ext cx="7743825" cy="4410075"/>
            <a:chOff x="0" y="1066801"/>
            <a:chExt cx="7063740" cy="4450939"/>
          </a:xfrm>
        </xdr:grpSpPr>
        <xdr:sp>
          <xdr:nvSpPr>
            <xdr:cNvPr id="9" name="Shape 9"/>
            <xdr:cNvSpPr/>
          </xdr:nvSpPr>
          <xdr:spPr>
            <a:xfrm>
              <a:off x="0" y="1066801"/>
              <a:ext cx="7063725" cy="44509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3" name="Shape 13"/>
            <xdr:cNvPicPr preferRelativeResize="0"/>
          </xdr:nvPicPr>
          <xdr:blipFill rotWithShape="1">
            <a:blip r:embed="rId2">
              <a:alphaModFix/>
            </a:blip>
            <a:srcRect b="0" l="4473" r="5115" t="0"/>
            <a:stretch/>
          </xdr:blipFill>
          <xdr:spPr>
            <a:xfrm>
              <a:off x="0" y="1066801"/>
              <a:ext cx="7063740" cy="4450939"/>
            </a:xfrm>
            <a:prstGeom prst="rect">
              <a:avLst/>
            </a:prstGeom>
            <a:noFill/>
            <a:ln>
              <a:noFill/>
            </a:ln>
          </xdr:spPr>
        </xdr:pic>
        <xdr:sp>
          <xdr:nvSpPr>
            <xdr:cNvPr id="14" name="Shape 14"/>
            <xdr:cNvSpPr/>
          </xdr:nvSpPr>
          <xdr:spPr>
            <a:xfrm>
              <a:off x="5875020" y="1127760"/>
              <a:ext cx="1127760" cy="274320"/>
            </a:xfrm>
            <a:prstGeom prst="rect">
              <a:avLst/>
            </a:prstGeom>
            <a:solidFill>
              <a:srgbClr val="F5F5F5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21.38"/>
    <col customWidth="1" min="3" max="3" width="56.63"/>
    <col customWidth="1" min="4" max="4" width="17.25"/>
    <col customWidth="1" min="5" max="8" width="8.88"/>
    <col customWidth="1" min="9" max="9" width="17.5"/>
    <col customWidth="1" min="10" max="10" width="18.88"/>
    <col customWidth="1" min="11" max="11" width="28.0"/>
    <col customWidth="1" min="12" max="13" width="8.88"/>
    <col customWidth="1" min="14" max="14" width="18.13"/>
    <col customWidth="1" min="15" max="15" width="15.38"/>
    <col customWidth="1" min="16" max="26" width="8.63"/>
  </cols>
  <sheetData>
    <row r="1" ht="29.25" customHeight="1">
      <c r="A1" s="64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42"/>
      <c r="O2" s="44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7.75" customHeight="1">
      <c r="A3" s="42"/>
      <c r="O3" s="44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8.5" customHeight="1">
      <c r="A4" s="42"/>
      <c r="O4" s="44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9.25" customHeight="1">
      <c r="A5" s="42"/>
      <c r="O5" s="44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9.25" customHeight="1">
      <c r="A6" s="46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8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74" t="s">
        <v>47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7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78" t="s">
        <v>1</v>
      </c>
      <c r="B8" s="79" t="s">
        <v>2</v>
      </c>
      <c r="C8" s="79" t="s">
        <v>3</v>
      </c>
      <c r="D8" s="79" t="s">
        <v>4</v>
      </c>
      <c r="E8" s="80" t="s">
        <v>5</v>
      </c>
      <c r="F8" s="2"/>
      <c r="G8" s="2"/>
      <c r="H8" s="81"/>
      <c r="I8" s="79" t="s">
        <v>6</v>
      </c>
      <c r="J8" s="79" t="s">
        <v>7</v>
      </c>
      <c r="K8" s="79" t="s">
        <v>8</v>
      </c>
      <c r="L8" s="79" t="s">
        <v>9</v>
      </c>
      <c r="M8" s="82" t="s">
        <v>11</v>
      </c>
      <c r="N8" s="85" t="s">
        <v>12</v>
      </c>
      <c r="O8" s="86" t="s">
        <v>13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87"/>
      <c r="B9" s="89"/>
      <c r="C9" s="89"/>
      <c r="D9" s="89"/>
      <c r="E9" s="13"/>
      <c r="F9" s="13"/>
      <c r="G9" s="13"/>
      <c r="H9" s="13"/>
      <c r="I9" s="28"/>
      <c r="J9" s="19"/>
      <c r="K9" s="19"/>
      <c r="L9" s="91"/>
      <c r="M9" s="92"/>
      <c r="N9" s="93"/>
      <c r="O9" s="94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73"/>
      <c r="B10" s="95"/>
      <c r="C10" s="95"/>
      <c r="D10" s="95"/>
      <c r="E10" s="13"/>
      <c r="F10" s="13"/>
      <c r="G10" s="13"/>
      <c r="H10" s="13"/>
      <c r="I10" s="28"/>
      <c r="J10" s="19"/>
      <c r="K10" s="19"/>
      <c r="L10" s="91"/>
      <c r="M10" s="92"/>
      <c r="N10" s="95"/>
      <c r="O10" s="94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87"/>
      <c r="B11" s="89"/>
      <c r="C11" s="89"/>
      <c r="D11" s="89"/>
      <c r="E11" s="13"/>
      <c r="F11" s="13"/>
      <c r="G11" s="13"/>
      <c r="H11" s="13"/>
      <c r="I11" s="28"/>
      <c r="J11" s="19"/>
      <c r="K11" s="19"/>
      <c r="L11" s="91"/>
      <c r="M11" s="92"/>
      <c r="N11" s="93"/>
      <c r="O11" s="94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73"/>
      <c r="B12" s="95"/>
      <c r="C12" s="95"/>
      <c r="D12" s="95"/>
      <c r="E12" s="13"/>
      <c r="F12" s="13"/>
      <c r="G12" s="13"/>
      <c r="H12" s="13"/>
      <c r="I12" s="28"/>
      <c r="J12" s="19"/>
      <c r="K12" s="19"/>
      <c r="L12" s="91"/>
      <c r="M12" s="92"/>
      <c r="N12" s="95"/>
      <c r="O12" s="94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87"/>
      <c r="B13" s="89"/>
      <c r="C13" s="89"/>
      <c r="D13" s="89"/>
      <c r="E13" s="13"/>
      <c r="F13" s="13"/>
      <c r="G13" s="13"/>
      <c r="H13" s="13"/>
      <c r="I13" s="28"/>
      <c r="J13" s="19"/>
      <c r="K13" s="19"/>
      <c r="L13" s="91"/>
      <c r="M13" s="92"/>
      <c r="N13" s="99"/>
      <c r="O13" s="94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73"/>
      <c r="B14" s="95"/>
      <c r="C14" s="95"/>
      <c r="D14" s="95"/>
      <c r="E14" s="13"/>
      <c r="F14" s="13"/>
      <c r="G14" s="13"/>
      <c r="H14" s="13"/>
      <c r="I14" s="28"/>
      <c r="J14" s="19"/>
      <c r="K14" s="19"/>
      <c r="L14" s="91"/>
      <c r="M14" s="92"/>
      <c r="N14" s="95"/>
      <c r="O14" s="94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76.5" customHeight="1">
      <c r="A15" s="106"/>
      <c r="B15" s="13"/>
      <c r="C15" s="13"/>
      <c r="D15" s="13"/>
      <c r="E15" s="13"/>
      <c r="F15" s="13"/>
      <c r="G15" s="13"/>
      <c r="H15" s="13"/>
      <c r="I15" s="28"/>
      <c r="J15" s="19"/>
      <c r="K15" s="19"/>
      <c r="L15" s="91"/>
      <c r="M15" s="92"/>
      <c r="N15" s="109"/>
      <c r="O15" s="110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06.5" customHeight="1">
      <c r="A16" s="106"/>
      <c r="B16" s="13"/>
      <c r="C16" s="13"/>
      <c r="D16" s="13"/>
      <c r="E16" s="13"/>
      <c r="F16" s="13"/>
      <c r="G16" s="13"/>
      <c r="H16" s="13"/>
      <c r="I16" s="28"/>
      <c r="J16" s="19"/>
      <c r="K16" s="19"/>
      <c r="L16" s="91"/>
      <c r="M16" s="92"/>
      <c r="N16" s="109"/>
      <c r="O16" s="110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106"/>
      <c r="B17" s="13"/>
      <c r="C17" s="13"/>
      <c r="D17" s="13"/>
      <c r="E17" s="13"/>
      <c r="F17" s="13"/>
      <c r="G17" s="13"/>
      <c r="H17" s="13"/>
      <c r="I17" s="28"/>
      <c r="J17" s="19"/>
      <c r="K17" s="19"/>
      <c r="L17" s="91"/>
      <c r="M17" s="92"/>
      <c r="N17" s="109"/>
      <c r="O17" s="110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106"/>
      <c r="B18" s="114"/>
      <c r="C18" s="13"/>
      <c r="D18" s="114"/>
      <c r="E18" s="114"/>
      <c r="F18" s="114"/>
      <c r="G18" s="13"/>
      <c r="H18" s="13"/>
      <c r="I18" s="28"/>
      <c r="J18" s="19"/>
      <c r="K18" s="19"/>
      <c r="L18" s="91"/>
      <c r="M18" s="92"/>
      <c r="N18" s="14"/>
      <c r="O18" s="110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115"/>
      <c r="B19" s="116"/>
      <c r="C19" s="118"/>
      <c r="D19" s="116"/>
      <c r="E19" s="116"/>
      <c r="F19" s="116"/>
      <c r="G19" s="118"/>
      <c r="H19" s="118"/>
      <c r="I19" s="120"/>
      <c r="J19" s="121"/>
      <c r="K19" s="121"/>
      <c r="L19" s="122"/>
      <c r="M19" s="123"/>
      <c r="N19" s="14"/>
      <c r="O19" s="110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124" t="s">
        <v>49</v>
      </c>
      <c r="B20" s="125"/>
      <c r="C20" s="125"/>
      <c r="D20" s="125"/>
      <c r="E20" s="125"/>
      <c r="F20" s="125"/>
      <c r="G20" s="125"/>
      <c r="H20" s="125"/>
      <c r="I20" s="84"/>
      <c r="J20" s="126">
        <f t="shared" ref="J20:M20" si="1">J9+J10+J11+J12+J13+J14+J15+J16+J17+J18+J19</f>
        <v>0</v>
      </c>
      <c r="K20" s="126">
        <f t="shared" si="1"/>
        <v>0</v>
      </c>
      <c r="L20" s="126">
        <f t="shared" si="1"/>
        <v>0</v>
      </c>
      <c r="M20" s="127">
        <f t="shared" si="1"/>
        <v>0</v>
      </c>
      <c r="N20" s="128"/>
      <c r="O20" s="129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130" t="s">
        <v>63</v>
      </c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100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102"/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131" t="s">
        <v>64</v>
      </c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132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133" t="s">
        <v>65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13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133" t="s">
        <v>66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13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133" t="s">
        <v>68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13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133" t="s">
        <v>69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13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135" t="s">
        <v>71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13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135" t="s">
        <v>72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13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135" t="s">
        <v>73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13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135" t="s">
        <v>74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13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135" t="s">
        <v>75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13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135" t="s">
        <v>76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13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135" t="s">
        <v>77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13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136" t="s">
        <v>78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8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3">
    <mergeCell ref="A1:O6"/>
    <mergeCell ref="A7:O7"/>
    <mergeCell ref="E8:H8"/>
    <mergeCell ref="B9:B10"/>
    <mergeCell ref="C9:C10"/>
    <mergeCell ref="D9:D10"/>
    <mergeCell ref="N9:N10"/>
    <mergeCell ref="N11:N12"/>
    <mergeCell ref="C13:C14"/>
    <mergeCell ref="D13:D14"/>
    <mergeCell ref="N13:N14"/>
    <mergeCell ref="A9:A10"/>
    <mergeCell ref="A11:A12"/>
    <mergeCell ref="B11:B12"/>
    <mergeCell ref="C11:C12"/>
    <mergeCell ref="D11:D12"/>
    <mergeCell ref="A13:A14"/>
    <mergeCell ref="B13:B14"/>
    <mergeCell ref="A29:M29"/>
    <mergeCell ref="A30:M30"/>
    <mergeCell ref="A31:M31"/>
    <mergeCell ref="A32:M32"/>
    <mergeCell ref="A33:M33"/>
    <mergeCell ref="A34:M34"/>
    <mergeCell ref="A35:M35"/>
    <mergeCell ref="A36:M36"/>
    <mergeCell ref="A20:I20"/>
    <mergeCell ref="A22:M23"/>
    <mergeCell ref="A24:M24"/>
    <mergeCell ref="A25:M25"/>
    <mergeCell ref="A26:M26"/>
    <mergeCell ref="A27:M27"/>
    <mergeCell ref="A28:M2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2.5"/>
    <col customWidth="1" min="3" max="3" width="22.13"/>
    <col customWidth="1" min="4" max="4" width="21.88"/>
    <col customWidth="1" min="5" max="8" width="8.88"/>
    <col customWidth="1" min="9" max="9" width="14.38"/>
    <col customWidth="1" min="10" max="10" width="17.63"/>
    <col customWidth="1" min="11" max="11" width="22.75"/>
    <col customWidth="1" min="12" max="13" width="8.88"/>
    <col customWidth="1" min="14" max="14" width="13.0"/>
    <col customWidth="1" min="15" max="16" width="8.88"/>
    <col customWidth="1" min="17" max="26" width="8.63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4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 t="s">
        <v>1</v>
      </c>
      <c r="B2" s="7" t="s">
        <v>2</v>
      </c>
      <c r="C2" s="7" t="s">
        <v>3</v>
      </c>
      <c r="D2" s="7" t="s">
        <v>4</v>
      </c>
      <c r="E2" s="8" t="s">
        <v>5</v>
      </c>
      <c r="F2" s="9"/>
      <c r="G2" s="9"/>
      <c r="H2" s="10"/>
      <c r="I2" s="7" t="s">
        <v>6</v>
      </c>
      <c r="J2" s="7" t="s">
        <v>7</v>
      </c>
      <c r="K2" s="7" t="s">
        <v>8</v>
      </c>
      <c r="L2" s="7" t="s">
        <v>9</v>
      </c>
      <c r="M2" s="7" t="s">
        <v>11</v>
      </c>
      <c r="N2" s="7" t="s">
        <v>12</v>
      </c>
      <c r="O2" s="11" t="s">
        <v>13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13"/>
      <c r="B3" s="13"/>
      <c r="C3" s="13"/>
      <c r="D3" s="14"/>
      <c r="E3" s="15"/>
      <c r="F3" s="15"/>
      <c r="G3" s="15"/>
      <c r="H3" s="15"/>
      <c r="I3" s="16"/>
      <c r="J3" s="18"/>
      <c r="K3" s="19"/>
      <c r="L3" s="20"/>
      <c r="M3" s="20"/>
      <c r="N3" s="21"/>
      <c r="O3" s="23"/>
      <c r="P3" s="2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13"/>
      <c r="B4" s="13"/>
      <c r="C4" s="13"/>
      <c r="D4" s="14"/>
      <c r="E4" s="13"/>
      <c r="F4" s="13"/>
      <c r="G4" s="13"/>
      <c r="H4" s="13"/>
      <c r="I4" s="28"/>
      <c r="J4" s="19"/>
      <c r="K4" s="19"/>
      <c r="L4" s="29"/>
      <c r="M4" s="29"/>
      <c r="N4" s="30"/>
      <c r="O4" s="32"/>
      <c r="P4" s="2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35"/>
      <c r="B5" s="35"/>
      <c r="C5" s="35"/>
      <c r="D5" s="35"/>
      <c r="E5" s="35"/>
      <c r="F5" s="35"/>
      <c r="G5" s="35"/>
      <c r="H5" s="35"/>
      <c r="I5" s="35"/>
      <c r="J5" s="19"/>
      <c r="K5" s="19"/>
      <c r="L5" s="19"/>
      <c r="M5" s="19"/>
      <c r="N5" s="38"/>
      <c r="O5" s="38"/>
      <c r="P5" s="2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4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4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A1:O1"/>
    <mergeCell ref="E2:H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88"/>
    <col customWidth="1" min="3" max="3" width="17.88"/>
    <col customWidth="1" min="4" max="4" width="15.38"/>
    <col customWidth="1" min="5" max="5" width="14.25"/>
    <col customWidth="1" min="6" max="6" width="16.13"/>
    <col customWidth="1" min="7" max="7" width="8.88"/>
    <col customWidth="1" min="8" max="8" width="12.38"/>
    <col customWidth="1" min="9" max="9" width="19.13"/>
    <col customWidth="1" min="10" max="10" width="12.88"/>
    <col customWidth="1" min="11" max="11" width="12.13"/>
    <col customWidth="1" min="12" max="12" width="8.88"/>
    <col customWidth="1" min="13" max="13" width="16.0"/>
    <col customWidth="1" min="14" max="14" width="17.5"/>
    <col customWidth="1" min="15" max="15" width="13.88"/>
    <col customWidth="1" min="16" max="16" width="12.75"/>
    <col customWidth="1" min="17" max="17" width="8.88"/>
    <col customWidth="1" min="18" max="18" width="14.75"/>
    <col customWidth="1" min="19" max="19" width="13.75"/>
    <col customWidth="1" min="20" max="20" width="8.88"/>
    <col customWidth="1" min="21" max="21" width="13.0"/>
    <col customWidth="1" min="22" max="22" width="8.88"/>
    <col customWidth="1" min="23" max="23" width="14.13"/>
    <col customWidth="1" min="24" max="24" width="13.75"/>
    <col customWidth="1" min="25" max="25" width="11.63"/>
    <col customWidth="1" min="26" max="26" width="14.25"/>
    <col customWidth="1" min="27" max="27" width="8.88"/>
    <col customWidth="1" min="28" max="28" width="14.0"/>
    <col customWidth="1" min="29" max="29" width="14.75"/>
    <col customWidth="1" min="30" max="30" width="15.25"/>
    <col customWidth="1" min="31" max="31" width="15.13"/>
  </cols>
  <sheetData>
    <row r="1" ht="14.2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14.25" customHeight="1">
      <c r="A2" s="3"/>
      <c r="B2" s="12" t="s">
        <v>10</v>
      </c>
      <c r="C2" s="9"/>
      <c r="D2" s="9"/>
      <c r="E2" s="9"/>
      <c r="F2" s="9"/>
      <c r="G2" s="9"/>
      <c r="H2" s="9"/>
      <c r="I2" s="9"/>
      <c r="J2" s="9"/>
      <c r="K2" s="9"/>
      <c r="L2" s="10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ht="14.25" customHeight="1">
      <c r="A3" s="3"/>
      <c r="B3" s="17" t="s">
        <v>14</v>
      </c>
      <c r="C3" s="9"/>
      <c r="D3" s="9"/>
      <c r="E3" s="9"/>
      <c r="F3" s="9"/>
      <c r="G3" s="9"/>
      <c r="H3" s="9"/>
      <c r="I3" s="9"/>
      <c r="J3" s="9"/>
      <c r="K3" s="9"/>
      <c r="L3" s="10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ht="14.25" customHeight="1">
      <c r="A4" s="3"/>
      <c r="B4" s="17" t="s">
        <v>16</v>
      </c>
      <c r="C4" s="9"/>
      <c r="D4" s="9"/>
      <c r="E4" s="9"/>
      <c r="F4" s="9"/>
      <c r="G4" s="9"/>
      <c r="H4" s="9"/>
      <c r="I4" s="9"/>
      <c r="J4" s="9"/>
      <c r="K4" s="9"/>
      <c r="L4" s="10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ht="14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ht="14.2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ht="14.25" customHeight="1">
      <c r="A7" s="3"/>
      <c r="B7" s="3"/>
      <c r="C7" s="37" t="s">
        <v>2</v>
      </c>
      <c r="D7" s="39" t="s">
        <v>19</v>
      </c>
      <c r="E7" s="40" t="s">
        <v>20</v>
      </c>
      <c r="F7" s="41" t="s">
        <v>12</v>
      </c>
      <c r="G7" s="3"/>
      <c r="H7" s="43" t="s">
        <v>2</v>
      </c>
      <c r="I7" s="40" t="s">
        <v>19</v>
      </c>
      <c r="J7" s="40" t="s">
        <v>20</v>
      </c>
      <c r="K7" s="45" t="s">
        <v>12</v>
      </c>
      <c r="L7" s="3"/>
      <c r="M7" s="43" t="s">
        <v>2</v>
      </c>
      <c r="N7" s="40" t="s">
        <v>19</v>
      </c>
      <c r="O7" s="40" t="s">
        <v>20</v>
      </c>
      <c r="P7" s="45" t="s">
        <v>12</v>
      </c>
      <c r="Q7" s="3"/>
      <c r="R7" s="43" t="s">
        <v>2</v>
      </c>
      <c r="S7" s="40" t="s">
        <v>19</v>
      </c>
      <c r="T7" s="40" t="s">
        <v>20</v>
      </c>
      <c r="U7" s="45" t="s">
        <v>12</v>
      </c>
      <c r="V7" s="3"/>
      <c r="W7" s="43" t="s">
        <v>2</v>
      </c>
      <c r="X7" s="40" t="s">
        <v>3</v>
      </c>
      <c r="Y7" s="40" t="s">
        <v>20</v>
      </c>
      <c r="Z7" s="45" t="s">
        <v>12</v>
      </c>
      <c r="AA7" s="3"/>
      <c r="AB7" s="43" t="s">
        <v>2</v>
      </c>
      <c r="AC7" s="40" t="s">
        <v>3</v>
      </c>
      <c r="AD7" s="40" t="s">
        <v>20</v>
      </c>
      <c r="AE7" s="45" t="s">
        <v>12</v>
      </c>
    </row>
    <row r="8" ht="14.25" customHeight="1">
      <c r="A8" s="3"/>
      <c r="B8" s="3"/>
      <c r="C8" s="49"/>
      <c r="D8" s="50"/>
      <c r="E8" s="50"/>
      <c r="F8" s="51"/>
      <c r="G8" s="3"/>
      <c r="H8" s="49"/>
      <c r="I8" s="50"/>
      <c r="J8" s="50"/>
      <c r="K8" s="51"/>
      <c r="L8" s="3"/>
      <c r="M8" s="49"/>
      <c r="N8" s="50"/>
      <c r="O8" s="50"/>
      <c r="P8" s="51"/>
      <c r="Q8" s="3"/>
      <c r="R8" s="49"/>
      <c r="S8" s="50"/>
      <c r="T8" s="50"/>
      <c r="U8" s="51"/>
      <c r="V8" s="3"/>
      <c r="W8" s="49"/>
      <c r="X8" s="50"/>
      <c r="Y8" s="50"/>
      <c r="Z8" s="51"/>
      <c r="AA8" s="3"/>
      <c r="AB8" s="49"/>
      <c r="AC8" s="50"/>
      <c r="AD8" s="50"/>
      <c r="AE8" s="51"/>
    </row>
    <row r="9" ht="31.5" customHeight="1">
      <c r="A9" s="3"/>
      <c r="B9" s="3"/>
      <c r="C9" s="52" t="s">
        <v>24</v>
      </c>
      <c r="D9" s="53" t="s">
        <v>25</v>
      </c>
      <c r="E9" s="54">
        <v>950000.0</v>
      </c>
      <c r="F9" s="55">
        <v>2850000.0</v>
      </c>
      <c r="G9" s="3"/>
      <c r="H9" s="56" t="s">
        <v>26</v>
      </c>
      <c r="I9" s="57" t="s">
        <v>27</v>
      </c>
      <c r="J9" s="58">
        <v>123000.0</v>
      </c>
      <c r="K9" s="59">
        <v>369000.0</v>
      </c>
      <c r="L9" s="3"/>
      <c r="M9" s="56" t="s">
        <v>29</v>
      </c>
      <c r="N9" s="57" t="s">
        <v>25</v>
      </c>
      <c r="O9" s="58">
        <v>750000.0</v>
      </c>
      <c r="P9" s="59">
        <v>2250000.0</v>
      </c>
      <c r="Q9" s="3"/>
      <c r="R9" s="63" t="s">
        <v>30</v>
      </c>
      <c r="S9" s="57" t="s">
        <v>31</v>
      </c>
      <c r="T9" s="58">
        <v>221000.0</v>
      </c>
      <c r="U9" s="59">
        <v>663000.0</v>
      </c>
      <c r="V9" s="3"/>
      <c r="W9" s="56" t="s">
        <v>32</v>
      </c>
      <c r="X9" s="57" t="s">
        <v>25</v>
      </c>
      <c r="Y9" s="58">
        <v>125000.0</v>
      </c>
      <c r="Z9" s="59">
        <v>500000.0</v>
      </c>
      <c r="AA9" s="3"/>
      <c r="AB9" s="56" t="s">
        <v>33</v>
      </c>
      <c r="AC9" s="65" t="s">
        <v>34</v>
      </c>
      <c r="AD9" s="58">
        <v>12526.0</v>
      </c>
      <c r="AE9" s="59">
        <v>37578.0</v>
      </c>
    </row>
    <row r="10" ht="24.0" customHeight="1">
      <c r="A10" s="3"/>
      <c r="B10" s="3"/>
      <c r="C10" s="66"/>
      <c r="D10" s="67" t="s">
        <v>31</v>
      </c>
      <c r="E10" s="68">
        <v>486000.0</v>
      </c>
      <c r="F10" s="55">
        <v>1458000.0</v>
      </c>
      <c r="G10" s="3"/>
      <c r="H10" s="66"/>
      <c r="I10" s="69" t="s">
        <v>35</v>
      </c>
      <c r="J10" s="70">
        <v>78000.0</v>
      </c>
      <c r="K10" s="59">
        <v>234000.0</v>
      </c>
      <c r="L10" s="3"/>
      <c r="M10" s="66"/>
      <c r="N10" s="69" t="s">
        <v>36</v>
      </c>
      <c r="O10" s="70">
        <v>480000.0</v>
      </c>
      <c r="P10" s="59">
        <v>1440000.0</v>
      </c>
      <c r="Q10" s="3"/>
      <c r="R10" s="66"/>
      <c r="S10" s="69" t="s">
        <v>25</v>
      </c>
      <c r="T10" s="70">
        <v>133000.0</v>
      </c>
      <c r="U10" s="59">
        <v>399000.0</v>
      </c>
      <c r="V10" s="3"/>
      <c r="W10" s="66"/>
      <c r="X10" s="69" t="s">
        <v>37</v>
      </c>
      <c r="Y10" s="70">
        <v>25000.0</v>
      </c>
      <c r="Z10" s="71">
        <v>100000.0</v>
      </c>
      <c r="AA10" s="3"/>
      <c r="AB10" s="66"/>
      <c r="AC10" s="72" t="s">
        <v>36</v>
      </c>
      <c r="AD10" s="70">
        <v>14620.0</v>
      </c>
      <c r="AE10" s="71">
        <v>43860.0</v>
      </c>
    </row>
    <row r="11" ht="22.5" customHeight="1">
      <c r="A11" s="3"/>
      <c r="B11" s="3"/>
      <c r="C11" s="66"/>
      <c r="D11" s="67" t="s">
        <v>38</v>
      </c>
      <c r="E11" s="68">
        <v>280000.0</v>
      </c>
      <c r="F11" s="55">
        <v>840000.0</v>
      </c>
      <c r="G11" s="3"/>
      <c r="H11" s="66"/>
      <c r="I11" s="69" t="s">
        <v>34</v>
      </c>
      <c r="J11" s="70">
        <v>23000.0</v>
      </c>
      <c r="K11" s="59">
        <v>69000.0</v>
      </c>
      <c r="L11" s="3"/>
      <c r="M11" s="66"/>
      <c r="N11" s="69" t="s">
        <v>39</v>
      </c>
      <c r="O11" s="70">
        <v>255000.0</v>
      </c>
      <c r="P11" s="59">
        <v>765000.0</v>
      </c>
      <c r="Q11" s="3"/>
      <c r="R11" s="66"/>
      <c r="S11" s="69" t="s">
        <v>40</v>
      </c>
      <c r="T11" s="70">
        <v>43000.0</v>
      </c>
      <c r="U11" s="59">
        <v>129000.0</v>
      </c>
      <c r="V11" s="3"/>
      <c r="W11" s="66"/>
      <c r="X11" s="69" t="s">
        <v>38</v>
      </c>
      <c r="Y11" s="70">
        <v>25000.0</v>
      </c>
      <c r="Z11" s="71">
        <v>100000.0</v>
      </c>
      <c r="AA11" s="3"/>
      <c r="AB11" s="66"/>
      <c r="AC11" s="72" t="s">
        <v>41</v>
      </c>
      <c r="AD11" s="70">
        <v>16400.0</v>
      </c>
      <c r="AE11" s="71">
        <v>49200.0</v>
      </c>
    </row>
    <row r="12" ht="18.75" customHeight="1">
      <c r="A12" s="3"/>
      <c r="B12" s="3"/>
      <c r="C12" s="66"/>
      <c r="D12" s="67" t="s">
        <v>42</v>
      </c>
      <c r="E12" s="68">
        <v>42000.0</v>
      </c>
      <c r="F12" s="55">
        <v>126000.0</v>
      </c>
      <c r="G12" s="3"/>
      <c r="H12" s="66"/>
      <c r="I12" s="69" t="s">
        <v>40</v>
      </c>
      <c r="J12" s="70">
        <v>27000.0</v>
      </c>
      <c r="K12" s="59">
        <v>81000.0</v>
      </c>
      <c r="L12" s="3"/>
      <c r="M12" s="66"/>
      <c r="N12" s="69" t="s">
        <v>40</v>
      </c>
      <c r="O12" s="70">
        <v>225000.0</v>
      </c>
      <c r="P12" s="59">
        <v>675000.0</v>
      </c>
      <c r="Q12" s="3"/>
      <c r="R12" s="66"/>
      <c r="S12" s="69" t="s">
        <v>36</v>
      </c>
      <c r="T12" s="70">
        <v>55000.0</v>
      </c>
      <c r="U12" s="59">
        <v>165000.0</v>
      </c>
      <c r="V12" s="3"/>
      <c r="W12" s="66"/>
      <c r="X12" s="69" t="s">
        <v>40</v>
      </c>
      <c r="Y12" s="70">
        <v>20000.0</v>
      </c>
      <c r="Z12" s="71">
        <v>80000.0</v>
      </c>
      <c r="AA12" s="3"/>
      <c r="AB12" s="66"/>
      <c r="AC12" s="72" t="s">
        <v>43</v>
      </c>
      <c r="AD12" s="70">
        <v>13460.0</v>
      </c>
      <c r="AE12" s="71">
        <v>40380.0</v>
      </c>
    </row>
    <row r="13" ht="15.75" customHeight="1">
      <c r="A13" s="3"/>
      <c r="B13" s="3"/>
      <c r="C13" s="66"/>
      <c r="D13" s="67" t="s">
        <v>44</v>
      </c>
      <c r="E13" s="68">
        <v>56000.0</v>
      </c>
      <c r="F13" s="55">
        <v>168000.0</v>
      </c>
      <c r="G13" s="3"/>
      <c r="H13" s="66"/>
      <c r="I13" s="69" t="s">
        <v>39</v>
      </c>
      <c r="J13" s="70">
        <v>24000.0</v>
      </c>
      <c r="K13" s="59">
        <v>72000.0</v>
      </c>
      <c r="L13" s="3"/>
      <c r="M13" s="66"/>
      <c r="N13" s="69" t="s">
        <v>37</v>
      </c>
      <c r="O13" s="70">
        <v>255000.0</v>
      </c>
      <c r="P13" s="59">
        <v>765000.0</v>
      </c>
      <c r="Q13" s="3"/>
      <c r="R13" s="66"/>
      <c r="S13" s="69" t="s">
        <v>39</v>
      </c>
      <c r="T13" s="70">
        <v>70000.0</v>
      </c>
      <c r="U13" s="59">
        <v>210000.0</v>
      </c>
      <c r="V13" s="3"/>
      <c r="W13" s="66"/>
      <c r="X13" s="69" t="s">
        <v>31</v>
      </c>
      <c r="Y13" s="70">
        <v>125000.0</v>
      </c>
      <c r="Z13" s="71">
        <v>500000.0</v>
      </c>
      <c r="AA13" s="3"/>
      <c r="AB13" s="66"/>
      <c r="AC13" s="72" t="s">
        <v>38</v>
      </c>
      <c r="AD13" s="70">
        <v>18620.0</v>
      </c>
      <c r="AE13" s="71">
        <v>55860.0</v>
      </c>
    </row>
    <row r="14" ht="14.25" customHeight="1">
      <c r="A14" s="3"/>
      <c r="B14" s="3"/>
      <c r="C14" s="73"/>
      <c r="D14" s="68" t="s">
        <v>45</v>
      </c>
      <c r="E14" s="68">
        <v>48000.0</v>
      </c>
      <c r="F14" s="55">
        <v>144000.0</v>
      </c>
      <c r="G14" s="3"/>
      <c r="H14" s="66"/>
      <c r="I14" s="69" t="s">
        <v>46</v>
      </c>
      <c r="J14" s="70">
        <v>23000.0</v>
      </c>
      <c r="K14" s="59">
        <v>69000.0</v>
      </c>
      <c r="L14" s="3"/>
      <c r="M14" s="66"/>
      <c r="N14" s="69" t="s">
        <v>44</v>
      </c>
      <c r="O14" s="70">
        <v>115000.0</v>
      </c>
      <c r="P14" s="59">
        <v>345000.0</v>
      </c>
      <c r="Q14" s="3"/>
      <c r="R14" s="66"/>
      <c r="S14" s="69" t="s">
        <v>37</v>
      </c>
      <c r="T14" s="70">
        <v>30000.0</v>
      </c>
      <c r="U14" s="59">
        <v>90000.0</v>
      </c>
      <c r="V14" s="3"/>
      <c r="W14" s="66"/>
      <c r="X14" s="69" t="s">
        <v>34</v>
      </c>
      <c r="Y14" s="70">
        <v>30000.0</v>
      </c>
      <c r="Z14" s="71">
        <v>120000.0</v>
      </c>
      <c r="AA14" s="3"/>
      <c r="AB14" s="66"/>
      <c r="AC14" s="72" t="s">
        <v>39</v>
      </c>
      <c r="AD14" s="70">
        <v>13280.0</v>
      </c>
      <c r="AE14" s="71">
        <v>39840.0</v>
      </c>
    </row>
    <row r="15" ht="18.0" customHeight="1">
      <c r="A15" s="3"/>
      <c r="B15" s="3"/>
      <c r="C15" s="76"/>
      <c r="D15" s="33"/>
      <c r="E15" s="33"/>
      <c r="F15" s="77"/>
      <c r="G15" s="3"/>
      <c r="H15" s="66"/>
      <c r="I15" s="69" t="s">
        <v>44</v>
      </c>
      <c r="J15" s="70">
        <v>16000.0</v>
      </c>
      <c r="K15" s="59">
        <v>48000.0</v>
      </c>
      <c r="L15" s="3"/>
      <c r="M15" s="66"/>
      <c r="N15" s="70" t="s">
        <v>48</v>
      </c>
      <c r="O15" s="70">
        <v>20000.0</v>
      </c>
      <c r="P15" s="59">
        <v>60000.0</v>
      </c>
      <c r="Q15" s="3"/>
      <c r="R15" s="66"/>
      <c r="S15" s="69" t="s">
        <v>34</v>
      </c>
      <c r="T15" s="70">
        <v>25000.0</v>
      </c>
      <c r="U15" s="59">
        <v>75000.0</v>
      </c>
      <c r="V15" s="3"/>
      <c r="W15" s="66"/>
      <c r="X15" s="69" t="s">
        <v>39</v>
      </c>
      <c r="Y15" s="70">
        <v>25000.0</v>
      </c>
      <c r="Z15" s="71">
        <v>100000.0</v>
      </c>
      <c r="AA15" s="3"/>
      <c r="AB15" s="66"/>
      <c r="AC15" s="72" t="s">
        <v>25</v>
      </c>
      <c r="AD15" s="70">
        <v>23320.0</v>
      </c>
      <c r="AE15" s="71">
        <v>69960.0</v>
      </c>
    </row>
    <row r="16" ht="19.5" customHeight="1">
      <c r="A16" s="3"/>
      <c r="B16" s="3"/>
      <c r="C16" s="83" t="s">
        <v>49</v>
      </c>
      <c r="D16" s="84"/>
      <c r="E16" s="88">
        <f>SUM(E9:E14)</f>
        <v>1862000</v>
      </c>
      <c r="F16" s="90">
        <v>5586000.0</v>
      </c>
      <c r="G16" s="3"/>
      <c r="H16" s="73"/>
      <c r="I16" s="69" t="s">
        <v>37</v>
      </c>
      <c r="J16" s="70">
        <v>21000.0</v>
      </c>
      <c r="K16" s="59">
        <v>63000.0</v>
      </c>
      <c r="L16" s="3"/>
      <c r="M16" s="66"/>
      <c r="N16" s="70" t="s">
        <v>45</v>
      </c>
      <c r="O16" s="70">
        <v>40000.0</v>
      </c>
      <c r="P16" s="59">
        <v>120000.0</v>
      </c>
      <c r="Q16" s="3"/>
      <c r="R16" s="66"/>
      <c r="S16" s="69" t="s">
        <v>42</v>
      </c>
      <c r="T16" s="70">
        <v>30000.0</v>
      </c>
      <c r="U16" s="59">
        <v>90000.0</v>
      </c>
      <c r="V16" s="3"/>
      <c r="W16" s="66"/>
      <c r="X16" s="69" t="s">
        <v>42</v>
      </c>
      <c r="Y16" s="70">
        <v>15000.0</v>
      </c>
      <c r="Z16" s="71">
        <v>60000.0</v>
      </c>
      <c r="AA16" s="3"/>
      <c r="AB16" s="66"/>
      <c r="AC16" s="72" t="s">
        <v>37</v>
      </c>
      <c r="AD16" s="70">
        <v>14690.0</v>
      </c>
      <c r="AE16" s="71">
        <v>44070.0</v>
      </c>
    </row>
    <row r="17" ht="21.0" customHeight="1">
      <c r="A17" s="3"/>
      <c r="B17" s="3"/>
      <c r="C17" s="3"/>
      <c r="D17" s="3"/>
      <c r="E17" s="3"/>
      <c r="F17" s="3"/>
      <c r="G17" s="3"/>
      <c r="H17" s="76"/>
      <c r="I17" s="33"/>
      <c r="J17" s="33"/>
      <c r="K17" s="77"/>
      <c r="L17" s="3"/>
      <c r="M17" s="66"/>
      <c r="N17" s="67" t="s">
        <v>50</v>
      </c>
      <c r="O17" s="68">
        <v>120000.0</v>
      </c>
      <c r="P17" s="59">
        <v>360000.0</v>
      </c>
      <c r="Q17" s="3"/>
      <c r="R17" s="66"/>
      <c r="S17" s="67" t="s">
        <v>44</v>
      </c>
      <c r="T17" s="68">
        <v>10000.0</v>
      </c>
      <c r="U17" s="59">
        <v>30000.0</v>
      </c>
      <c r="V17" s="3"/>
      <c r="W17" s="66"/>
      <c r="X17" s="69" t="s">
        <v>44</v>
      </c>
      <c r="Y17" s="70">
        <v>15000.0</v>
      </c>
      <c r="Z17" s="71">
        <v>60000.0</v>
      </c>
      <c r="AA17" s="3"/>
      <c r="AB17" s="66"/>
      <c r="AC17" s="72" t="s">
        <v>40</v>
      </c>
      <c r="AD17" s="70">
        <v>18600.0</v>
      </c>
      <c r="AE17" s="71">
        <v>55800.0</v>
      </c>
    </row>
    <row r="18" ht="14.25" customHeight="1">
      <c r="A18" s="3"/>
      <c r="B18" s="3"/>
      <c r="C18" s="3"/>
      <c r="D18" s="3"/>
      <c r="E18" s="3"/>
      <c r="F18" s="3"/>
      <c r="G18" s="3"/>
      <c r="H18" s="83" t="s">
        <v>51</v>
      </c>
      <c r="I18" s="84"/>
      <c r="J18" s="88">
        <f>SUM(J9:J16)</f>
        <v>335000</v>
      </c>
      <c r="K18" s="90">
        <v>1005000.0</v>
      </c>
      <c r="L18" s="3"/>
      <c r="M18" s="66"/>
      <c r="N18" s="67" t="s">
        <v>52</v>
      </c>
      <c r="O18" s="68">
        <v>40000.0</v>
      </c>
      <c r="P18" s="59">
        <v>120000.0</v>
      </c>
      <c r="Q18" s="3"/>
      <c r="R18" s="66"/>
      <c r="S18" s="67" t="s">
        <v>50</v>
      </c>
      <c r="T18" s="68">
        <v>20000.0</v>
      </c>
      <c r="U18" s="59">
        <v>60000.0</v>
      </c>
      <c r="V18" s="3"/>
      <c r="W18" s="66"/>
      <c r="X18" s="70" t="s">
        <v>53</v>
      </c>
      <c r="Y18" s="70">
        <v>10000.0</v>
      </c>
      <c r="Z18" s="71">
        <v>40000.0</v>
      </c>
      <c r="AA18" s="3"/>
      <c r="AB18" s="66"/>
      <c r="AC18" s="96" t="s">
        <v>53</v>
      </c>
      <c r="AD18" s="70">
        <v>12780.0</v>
      </c>
      <c r="AE18" s="71">
        <v>38340.0</v>
      </c>
    </row>
    <row r="19" ht="20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66"/>
      <c r="N19" s="68" t="s">
        <v>54</v>
      </c>
      <c r="O19" s="68">
        <v>35000.0</v>
      </c>
      <c r="P19" s="59">
        <v>105000.0</v>
      </c>
      <c r="Q19" s="3"/>
      <c r="R19" s="73"/>
      <c r="S19" s="67" t="s">
        <v>38</v>
      </c>
      <c r="T19" s="68">
        <v>17000.0</v>
      </c>
      <c r="U19" s="59">
        <v>51000.0</v>
      </c>
      <c r="V19" s="3"/>
      <c r="W19" s="73"/>
      <c r="X19" s="69" t="s">
        <v>36</v>
      </c>
      <c r="Y19" s="70">
        <v>20000.0</v>
      </c>
      <c r="Z19" s="71">
        <v>80000.0</v>
      </c>
      <c r="AA19" s="3"/>
      <c r="AB19" s="66"/>
      <c r="AC19" s="72" t="s">
        <v>44</v>
      </c>
      <c r="AD19" s="70">
        <v>16480.0</v>
      </c>
      <c r="AE19" s="71">
        <v>49440.0</v>
      </c>
    </row>
    <row r="20" ht="18.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66"/>
      <c r="N20" s="67" t="s">
        <v>56</v>
      </c>
      <c r="O20" s="68">
        <v>113000.0</v>
      </c>
      <c r="P20" s="59">
        <v>339000.0</v>
      </c>
      <c r="Q20" s="3"/>
      <c r="R20" s="104"/>
      <c r="S20" s="33"/>
      <c r="T20" s="33"/>
      <c r="U20" s="77"/>
      <c r="V20" s="3"/>
      <c r="W20" s="104"/>
      <c r="X20" s="33"/>
      <c r="Y20" s="33"/>
      <c r="Z20" s="77"/>
      <c r="AA20" s="3"/>
      <c r="AB20" s="66"/>
      <c r="AC20" s="72" t="s">
        <v>31</v>
      </c>
      <c r="AD20" s="70">
        <v>24620.0</v>
      </c>
      <c r="AE20" s="71">
        <v>73860.0</v>
      </c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66"/>
      <c r="N21" s="68" t="s">
        <v>58</v>
      </c>
      <c r="O21" s="68">
        <v>120000.0</v>
      </c>
      <c r="P21" s="59">
        <v>360000.0</v>
      </c>
      <c r="Q21" s="3"/>
      <c r="R21" s="112" t="s">
        <v>49</v>
      </c>
      <c r="S21" s="84"/>
      <c r="T21" s="88">
        <f>SUM(T9:T19)</f>
        <v>654000</v>
      </c>
      <c r="U21" s="113">
        <v>1962000.0</v>
      </c>
      <c r="V21" s="3"/>
      <c r="W21" s="112" t="s">
        <v>49</v>
      </c>
      <c r="X21" s="84"/>
      <c r="Y21" s="88">
        <f t="shared" ref="Y21:Z21" si="1">SUM(Y9:Y19)</f>
        <v>435000</v>
      </c>
      <c r="Z21" s="90">
        <f t="shared" si="1"/>
        <v>1740000</v>
      </c>
      <c r="AA21" s="3"/>
      <c r="AB21" s="73"/>
      <c r="AC21" s="72" t="s">
        <v>42</v>
      </c>
      <c r="AD21" s="70">
        <v>17640.0</v>
      </c>
      <c r="AE21" s="71">
        <v>52920.0</v>
      </c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66"/>
      <c r="N22" s="67" t="s">
        <v>59</v>
      </c>
      <c r="O22" s="68">
        <v>55000.0</v>
      </c>
      <c r="P22" s="59">
        <v>165000.0</v>
      </c>
      <c r="Q22" s="3"/>
      <c r="R22" s="117"/>
      <c r="S22" s="119"/>
      <c r="T22" s="119"/>
      <c r="U22" s="119"/>
      <c r="V22" s="3"/>
      <c r="W22" s="3"/>
      <c r="X22" s="3"/>
      <c r="Y22" s="3"/>
      <c r="Z22" s="3"/>
      <c r="AA22" s="3"/>
      <c r="AB22" s="76"/>
      <c r="AC22" s="33"/>
      <c r="AD22" s="33"/>
      <c r="AE22" s="77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66"/>
      <c r="N23" s="68" t="s">
        <v>60</v>
      </c>
      <c r="O23" s="68">
        <v>50000.0</v>
      </c>
      <c r="P23" s="59">
        <v>150000.0</v>
      </c>
      <c r="Q23" s="3"/>
      <c r="R23" s="117"/>
      <c r="S23" s="119"/>
      <c r="T23" s="119"/>
      <c r="U23" s="119"/>
      <c r="V23" s="3"/>
      <c r="W23" s="3"/>
      <c r="X23" s="3"/>
      <c r="Y23" s="3"/>
      <c r="Z23" s="3"/>
      <c r="AA23" s="3"/>
      <c r="AB23" s="83" t="s">
        <v>49</v>
      </c>
      <c r="AC23" s="84"/>
      <c r="AD23" s="88">
        <f t="shared" ref="AD23:AE23" si="2">SUM(AD9:AD21)</f>
        <v>217036</v>
      </c>
      <c r="AE23" s="90">
        <f t="shared" si="2"/>
        <v>651108</v>
      </c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66"/>
      <c r="N24" s="68" t="s">
        <v>61</v>
      </c>
      <c r="O24" s="68">
        <v>17000.0</v>
      </c>
      <c r="P24" s="59">
        <v>51000.0</v>
      </c>
      <c r="Q24" s="3"/>
      <c r="R24" s="117"/>
      <c r="S24" s="119"/>
      <c r="T24" s="119"/>
      <c r="U24" s="119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66"/>
      <c r="N25" s="68" t="s">
        <v>62</v>
      </c>
      <c r="O25" s="68">
        <v>12000.0</v>
      </c>
      <c r="P25" s="59">
        <v>36000.0</v>
      </c>
      <c r="Q25" s="3"/>
      <c r="R25" s="117"/>
      <c r="S25" s="119"/>
      <c r="T25" s="119"/>
      <c r="U25" s="119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66"/>
      <c r="N26" s="67" t="s">
        <v>31</v>
      </c>
      <c r="O26" s="68">
        <v>810000.0</v>
      </c>
      <c r="P26" s="59">
        <v>2430000.0</v>
      </c>
      <c r="Q26" s="3"/>
      <c r="R26" s="117"/>
      <c r="S26" s="119"/>
      <c r="T26" s="119"/>
      <c r="U26" s="119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66"/>
      <c r="N27" s="67" t="s">
        <v>42</v>
      </c>
      <c r="O27" s="68">
        <v>280000.0</v>
      </c>
      <c r="P27" s="59">
        <v>840000.0</v>
      </c>
      <c r="Q27" s="3"/>
      <c r="R27" s="117"/>
      <c r="S27" s="119"/>
      <c r="T27" s="119"/>
      <c r="U27" s="119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66"/>
      <c r="N28" s="67" t="s">
        <v>34</v>
      </c>
      <c r="O28" s="68">
        <v>200000.0</v>
      </c>
      <c r="P28" s="59">
        <v>600000.0</v>
      </c>
      <c r="Q28" s="3"/>
      <c r="R28" s="117"/>
      <c r="S28" s="119"/>
      <c r="T28" s="119"/>
      <c r="U28" s="119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66"/>
      <c r="N29" s="68" t="s">
        <v>67</v>
      </c>
      <c r="O29" s="68">
        <v>32000.0</v>
      </c>
      <c r="P29" s="59">
        <v>96000.0</v>
      </c>
      <c r="Q29" s="3"/>
      <c r="R29" s="117"/>
      <c r="S29" s="119"/>
      <c r="T29" s="119"/>
      <c r="U29" s="119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73"/>
      <c r="N30" s="67" t="s">
        <v>70</v>
      </c>
      <c r="O30" s="68">
        <v>40000.0</v>
      </c>
      <c r="P30" s="59">
        <v>120000.0</v>
      </c>
      <c r="Q30" s="3"/>
      <c r="R30" s="117"/>
      <c r="S30" s="119"/>
      <c r="T30" s="119"/>
      <c r="U30" s="119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</sheetData>
  <mergeCells count="43">
    <mergeCell ref="B2:L2"/>
    <mergeCell ref="B3:L3"/>
    <mergeCell ref="B4:L4"/>
    <mergeCell ref="C7:C8"/>
    <mergeCell ref="D7:D8"/>
    <mergeCell ref="E7:E8"/>
    <mergeCell ref="F7:F8"/>
    <mergeCell ref="AB7:AB8"/>
    <mergeCell ref="AC7:AC8"/>
    <mergeCell ref="AD7:AD8"/>
    <mergeCell ref="AE7:AE8"/>
    <mergeCell ref="AB9:AB21"/>
    <mergeCell ref="AB22:AE22"/>
    <mergeCell ref="AB23:AC23"/>
    <mergeCell ref="S7:S8"/>
    <mergeCell ref="T7:T8"/>
    <mergeCell ref="U7:U8"/>
    <mergeCell ref="W7:W8"/>
    <mergeCell ref="X7:X8"/>
    <mergeCell ref="Y7:Y8"/>
    <mergeCell ref="Z7:Z8"/>
    <mergeCell ref="R9:R19"/>
    <mergeCell ref="W9:W19"/>
    <mergeCell ref="R20:U20"/>
    <mergeCell ref="W20:Z20"/>
    <mergeCell ref="R21:S21"/>
    <mergeCell ref="W21:X21"/>
    <mergeCell ref="J7:J8"/>
    <mergeCell ref="K7:K8"/>
    <mergeCell ref="M7:M8"/>
    <mergeCell ref="N7:N8"/>
    <mergeCell ref="O7:O8"/>
    <mergeCell ref="P7:P8"/>
    <mergeCell ref="R7:R8"/>
    <mergeCell ref="H17:K17"/>
    <mergeCell ref="H18:I18"/>
    <mergeCell ref="H7:H8"/>
    <mergeCell ref="I7:I8"/>
    <mergeCell ref="C9:C14"/>
    <mergeCell ref="H9:H16"/>
    <mergeCell ref="M9:M30"/>
    <mergeCell ref="C15:F15"/>
    <mergeCell ref="C16:D1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B1" s="22" t="s">
        <v>15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6"/>
    </row>
    <row r="2" ht="14.25" customHeight="1">
      <c r="B2" s="27" t="s">
        <v>17</v>
      </c>
      <c r="C2" s="9"/>
      <c r="D2" s="9"/>
      <c r="E2" s="9"/>
      <c r="F2" s="9"/>
      <c r="G2" s="10"/>
      <c r="H2" s="31" t="s">
        <v>18</v>
      </c>
      <c r="I2" s="33"/>
      <c r="J2" s="33"/>
      <c r="K2" s="33"/>
      <c r="L2" s="33"/>
      <c r="M2" s="34"/>
    </row>
    <row r="3" ht="14.25" customHeight="1">
      <c r="B3" s="36"/>
      <c r="C3" s="33"/>
      <c r="D3" s="33"/>
      <c r="E3" s="33"/>
      <c r="F3" s="33"/>
      <c r="G3" s="34"/>
      <c r="H3" s="42"/>
      <c r="M3" s="44"/>
    </row>
    <row r="4" ht="14.25" customHeight="1">
      <c r="B4" s="46"/>
      <c r="C4" s="47"/>
      <c r="D4" s="47"/>
      <c r="E4" s="47"/>
      <c r="F4" s="47"/>
      <c r="G4" s="48"/>
      <c r="H4" s="42"/>
      <c r="M4" s="44"/>
    </row>
    <row r="5" ht="14.25" customHeight="1">
      <c r="B5" s="27" t="s">
        <v>21</v>
      </c>
      <c r="C5" s="9"/>
      <c r="D5" s="9"/>
      <c r="E5" s="9"/>
      <c r="F5" s="9"/>
      <c r="G5" s="10"/>
      <c r="H5" s="42"/>
      <c r="M5" s="44"/>
    </row>
    <row r="6" ht="14.25" customHeight="1">
      <c r="B6" s="36"/>
      <c r="C6" s="33"/>
      <c r="D6" s="33"/>
      <c r="E6" s="33"/>
      <c r="F6" s="33"/>
      <c r="G6" s="34"/>
      <c r="H6" s="42"/>
      <c r="M6" s="44"/>
    </row>
    <row r="7" ht="14.25" customHeight="1">
      <c r="B7" s="46"/>
      <c r="C7" s="47"/>
      <c r="D7" s="47"/>
      <c r="E7" s="47"/>
      <c r="F7" s="47"/>
      <c r="G7" s="48"/>
      <c r="H7" s="42"/>
      <c r="M7" s="44"/>
    </row>
    <row r="8" ht="14.25" customHeight="1">
      <c r="B8" s="27" t="s">
        <v>22</v>
      </c>
      <c r="C8" s="9"/>
      <c r="D8" s="9"/>
      <c r="E8" s="9"/>
      <c r="F8" s="9"/>
      <c r="G8" s="10"/>
      <c r="H8" s="42"/>
      <c r="M8" s="44"/>
    </row>
    <row r="9" ht="14.25" customHeight="1">
      <c r="B9" s="36"/>
      <c r="C9" s="33"/>
      <c r="D9" s="33"/>
      <c r="E9" s="33"/>
      <c r="F9" s="33"/>
      <c r="G9" s="34"/>
      <c r="H9" s="42"/>
      <c r="M9" s="44"/>
    </row>
    <row r="10" ht="14.25" customHeight="1">
      <c r="B10" s="42"/>
      <c r="G10" s="44"/>
      <c r="H10" s="42"/>
      <c r="M10" s="44"/>
    </row>
    <row r="11" ht="14.25" customHeight="1">
      <c r="B11" s="46"/>
      <c r="C11" s="47"/>
      <c r="D11" s="47"/>
      <c r="E11" s="47"/>
      <c r="F11" s="47"/>
      <c r="G11" s="48"/>
      <c r="H11" s="42"/>
      <c r="M11" s="44"/>
    </row>
    <row r="12" ht="14.25" customHeight="1">
      <c r="B12" s="27" t="s">
        <v>23</v>
      </c>
      <c r="C12" s="9"/>
      <c r="D12" s="9"/>
      <c r="E12" s="9"/>
      <c r="F12" s="9"/>
      <c r="G12" s="10"/>
      <c r="H12" s="42"/>
      <c r="M12" s="44"/>
    </row>
    <row r="13" ht="14.25" customHeight="1">
      <c r="B13" s="36"/>
      <c r="C13" s="33"/>
      <c r="D13" s="33"/>
      <c r="E13" s="33"/>
      <c r="F13" s="33"/>
      <c r="G13" s="34"/>
      <c r="H13" s="42"/>
      <c r="M13" s="44"/>
    </row>
    <row r="14" ht="14.25" customHeight="1">
      <c r="B14" s="46"/>
      <c r="C14" s="47"/>
      <c r="D14" s="47"/>
      <c r="E14" s="47"/>
      <c r="F14" s="47"/>
      <c r="G14" s="48"/>
      <c r="H14" s="46"/>
      <c r="I14" s="47"/>
      <c r="J14" s="47"/>
      <c r="K14" s="47"/>
      <c r="L14" s="47"/>
      <c r="M14" s="48"/>
    </row>
    <row r="15" ht="14.25" customHeight="1"/>
    <row r="16" ht="14.25" customHeight="1">
      <c r="B16" s="60" t="s">
        <v>28</v>
      </c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2"/>
    </row>
    <row r="17" ht="14.25" customHeight="1">
      <c r="B17" s="64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4"/>
    </row>
    <row r="18" ht="14.25" customHeight="1">
      <c r="B18" s="42"/>
      <c r="M18" s="44"/>
    </row>
    <row r="19" ht="14.25" customHeight="1">
      <c r="B19" s="42"/>
      <c r="M19" s="44"/>
    </row>
    <row r="20" ht="14.25" customHeight="1">
      <c r="B20" s="42"/>
      <c r="M20" s="44"/>
    </row>
    <row r="21" ht="14.25" customHeight="1">
      <c r="B21" s="42"/>
      <c r="M21" s="44"/>
    </row>
    <row r="22" ht="14.25" customHeight="1">
      <c r="B22" s="42"/>
      <c r="M22" s="44"/>
    </row>
    <row r="23" ht="14.25" customHeight="1">
      <c r="B23" s="42"/>
      <c r="M23" s="44"/>
    </row>
    <row r="24" ht="14.25" customHeight="1">
      <c r="B24" s="42"/>
      <c r="M24" s="44"/>
    </row>
    <row r="25" ht="14.25" customHeight="1">
      <c r="B25" s="42"/>
      <c r="M25" s="44"/>
    </row>
    <row r="26" ht="14.25" customHeight="1">
      <c r="B26" s="42"/>
      <c r="M26" s="44"/>
    </row>
    <row r="27" ht="14.25" customHeight="1">
      <c r="B27" s="42"/>
      <c r="M27" s="44"/>
    </row>
    <row r="28" ht="14.25" customHeight="1">
      <c r="B28" s="42"/>
      <c r="M28" s="44"/>
    </row>
    <row r="29" ht="14.25" customHeight="1">
      <c r="B29" s="42"/>
      <c r="M29" s="44"/>
    </row>
    <row r="30" ht="14.25" customHeight="1">
      <c r="B30" s="42"/>
      <c r="M30" s="44"/>
    </row>
    <row r="31" ht="14.25" customHeight="1">
      <c r="B31" s="42"/>
      <c r="M31" s="44"/>
    </row>
    <row r="32" ht="14.25" customHeight="1">
      <c r="B32" s="46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8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B9:G11"/>
    <mergeCell ref="B12:G12"/>
    <mergeCell ref="B13:G14"/>
    <mergeCell ref="B16:M16"/>
    <mergeCell ref="B17:M32"/>
    <mergeCell ref="B1:M1"/>
    <mergeCell ref="B2:G2"/>
    <mergeCell ref="H2:M14"/>
    <mergeCell ref="B3:G4"/>
    <mergeCell ref="B5:G5"/>
    <mergeCell ref="B6:G7"/>
    <mergeCell ref="B8:G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97" t="s">
        <v>55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100"/>
      <c r="V1" s="101"/>
      <c r="W1" s="101"/>
      <c r="X1" s="101"/>
    </row>
    <row r="2" ht="14.25" customHeight="1">
      <c r="A2" s="102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5"/>
      <c r="V2" s="101"/>
      <c r="W2" s="101"/>
      <c r="X2" s="101"/>
    </row>
    <row r="3" ht="14.25" customHeight="1">
      <c r="A3" s="107" t="s">
        <v>57</v>
      </c>
      <c r="V3" s="108"/>
      <c r="W3" s="108"/>
      <c r="X3" s="108"/>
    </row>
    <row r="4" ht="14.25" customHeight="1">
      <c r="A4" s="42"/>
      <c r="V4" s="108"/>
      <c r="W4" s="108"/>
      <c r="X4" s="108"/>
    </row>
    <row r="5" ht="14.25" customHeight="1">
      <c r="A5" s="42"/>
      <c r="V5" s="108"/>
      <c r="W5" s="108"/>
      <c r="X5" s="108"/>
    </row>
    <row r="6" ht="14.25" customHeight="1">
      <c r="A6" s="64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4"/>
      <c r="V6" s="111"/>
      <c r="W6" s="111"/>
      <c r="X6" s="111"/>
    </row>
    <row r="7" ht="14.25" customHeight="1">
      <c r="A7" s="42"/>
      <c r="U7" s="44"/>
      <c r="V7" s="111"/>
      <c r="W7" s="111"/>
      <c r="X7" s="111"/>
    </row>
    <row r="8" ht="14.25" customHeight="1">
      <c r="A8" s="42"/>
      <c r="U8" s="44"/>
      <c r="V8" s="111"/>
      <c r="W8" s="111"/>
      <c r="X8" s="111"/>
    </row>
    <row r="9" ht="14.25" customHeight="1">
      <c r="A9" s="42"/>
      <c r="U9" s="44"/>
      <c r="V9" s="111"/>
      <c r="W9" s="111"/>
      <c r="X9" s="111"/>
    </row>
    <row r="10" ht="14.25" customHeight="1">
      <c r="A10" s="42"/>
      <c r="U10" s="44"/>
      <c r="V10" s="111"/>
      <c r="W10" s="111"/>
      <c r="X10" s="111"/>
    </row>
    <row r="11" ht="14.25" customHeight="1">
      <c r="A11" s="42"/>
      <c r="U11" s="44"/>
      <c r="V11" s="111"/>
      <c r="W11" s="111"/>
      <c r="X11" s="111"/>
    </row>
    <row r="12" ht="14.25" customHeight="1">
      <c r="A12" s="42"/>
      <c r="U12" s="44"/>
      <c r="V12" s="111"/>
      <c r="W12" s="111"/>
      <c r="X12" s="111"/>
    </row>
    <row r="13" ht="14.25" customHeight="1">
      <c r="A13" s="42"/>
      <c r="U13" s="44"/>
      <c r="V13" s="111"/>
      <c r="W13" s="111"/>
      <c r="X13" s="111"/>
    </row>
    <row r="14" ht="14.25" customHeight="1">
      <c r="A14" s="42"/>
      <c r="U14" s="44"/>
      <c r="V14" s="111"/>
      <c r="W14" s="111"/>
      <c r="X14" s="111"/>
    </row>
    <row r="15" ht="14.25" customHeight="1">
      <c r="A15" s="42"/>
      <c r="U15" s="44"/>
      <c r="V15" s="111"/>
      <c r="W15" s="111"/>
      <c r="X15" s="111"/>
    </row>
    <row r="16" ht="14.25" customHeight="1">
      <c r="A16" s="42"/>
      <c r="U16" s="44"/>
      <c r="V16" s="111"/>
      <c r="W16" s="111"/>
      <c r="X16" s="111"/>
    </row>
    <row r="17" ht="14.25" customHeight="1">
      <c r="A17" s="42"/>
      <c r="U17" s="44"/>
      <c r="V17" s="111"/>
      <c r="W17" s="111"/>
      <c r="X17" s="111"/>
    </row>
    <row r="18" ht="14.25" customHeight="1">
      <c r="A18" s="42"/>
      <c r="U18" s="44"/>
      <c r="V18" s="111"/>
      <c r="W18" s="111"/>
      <c r="X18" s="111"/>
    </row>
    <row r="19" ht="14.25" customHeight="1">
      <c r="A19" s="42"/>
      <c r="U19" s="44"/>
      <c r="V19" s="111"/>
      <c r="W19" s="111"/>
      <c r="X19" s="111"/>
    </row>
    <row r="20" ht="14.25" customHeight="1">
      <c r="A20" s="42"/>
      <c r="U20" s="44"/>
      <c r="V20" s="111"/>
      <c r="W20" s="111"/>
      <c r="X20" s="111"/>
    </row>
    <row r="21" ht="14.25" customHeight="1">
      <c r="A21" s="42"/>
      <c r="U21" s="44"/>
      <c r="V21" s="111"/>
      <c r="W21" s="111"/>
      <c r="X21" s="111"/>
    </row>
    <row r="22" ht="14.25" customHeight="1">
      <c r="A22" s="42"/>
      <c r="U22" s="44"/>
      <c r="V22" s="111"/>
      <c r="W22" s="111"/>
      <c r="X22" s="111"/>
    </row>
    <row r="23" ht="14.25" customHeight="1">
      <c r="A23" s="42"/>
      <c r="U23" s="44"/>
      <c r="V23" s="111"/>
      <c r="W23" s="111"/>
      <c r="X23" s="111"/>
    </row>
    <row r="24" ht="14.25" customHeight="1">
      <c r="A24" s="42"/>
      <c r="U24" s="44"/>
      <c r="V24" s="111"/>
      <c r="W24" s="111"/>
      <c r="X24" s="111"/>
    </row>
    <row r="25" ht="14.25" customHeight="1">
      <c r="A25" s="42"/>
      <c r="U25" s="44"/>
      <c r="V25" s="111"/>
      <c r="W25" s="111"/>
      <c r="X25" s="111"/>
    </row>
    <row r="26" ht="14.25" customHeight="1">
      <c r="A26" s="42"/>
      <c r="U26" s="44"/>
      <c r="V26" s="111"/>
      <c r="W26" s="111"/>
      <c r="X26" s="111"/>
    </row>
    <row r="27" ht="14.25" customHeight="1">
      <c r="A27" s="42"/>
      <c r="U27" s="44"/>
      <c r="V27" s="111"/>
      <c r="W27" s="111"/>
      <c r="X27" s="111"/>
    </row>
    <row r="28" ht="14.25" customHeight="1">
      <c r="A28" s="42"/>
      <c r="U28" s="44"/>
      <c r="V28" s="111"/>
      <c r="W28" s="111"/>
      <c r="X28" s="111"/>
    </row>
    <row r="29" ht="14.25" customHeight="1">
      <c r="A29" s="42"/>
      <c r="U29" s="44"/>
      <c r="V29" s="111"/>
      <c r="W29" s="111"/>
      <c r="X29" s="111"/>
    </row>
    <row r="30" ht="14.25" customHeight="1">
      <c r="A30" s="42"/>
      <c r="U30" s="44"/>
      <c r="V30" s="111"/>
      <c r="W30" s="111"/>
      <c r="X30" s="111"/>
    </row>
    <row r="31" ht="14.25" customHeight="1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8"/>
      <c r="V31" s="111"/>
      <c r="W31" s="111"/>
      <c r="X31" s="111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U2"/>
    <mergeCell ref="A3:U5"/>
    <mergeCell ref="A6:U3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2026-03-09T05:59:26Z</dcterms:created>
  <dc:creator>Rhythem Jain</dc:creator>
</cp:coreProperties>
</file>