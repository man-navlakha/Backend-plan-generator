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manna\Desktop\Transit\Plans\24.07.2026\"/>
    </mc:Choice>
  </mc:AlternateContent>
  <bookViews>
    <workbookView xWindow="-108" yWindow="-108" windowWidth="23256" windowHeight="12456"/>
  </bookViews>
  <sheets>
    <sheet name="Train" sheetId="1" r:id="rId1"/>
    <sheet name="T&amp;C - Train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1" l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L42" i="1" l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B10" i="1" l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</calcChain>
</file>

<file path=xl/sharedStrings.xml><?xml version="1.0" encoding="utf-8"?>
<sst xmlns="http://schemas.openxmlformats.org/spreadsheetml/2006/main" count="122" uniqueCount="85">
  <si>
    <t>Sr. No.</t>
  </si>
  <si>
    <t>Terms &amp; Conditions:</t>
  </si>
  <si>
    <t>1. 100% Payment is to be made in advance</t>
  </si>
  <si>
    <t>2. Final Creatives will be provided from clients end.</t>
  </si>
  <si>
    <t>3. We don’t hold any responsibilities on number of leads generated due to campaign.</t>
  </si>
  <si>
    <t>4. Rates are valid till 1 Month of submission of proposal. No Cancellation during the tenure of the Campaign.</t>
  </si>
  <si>
    <t>5. Lead Time will be of 10 to 15 Days after the Approval on the Final Creative.</t>
  </si>
  <si>
    <t>6. Start Date &amp; End Date Photographs to be provided with Gio tag.</t>
  </si>
  <si>
    <t>Train no.</t>
  </si>
  <si>
    <t>Train Name</t>
  </si>
  <si>
    <t>WELL KNOWN AS</t>
  </si>
  <si>
    <t>Monthly Passengers (Appx)</t>
  </si>
  <si>
    <t>Key Cities covered</t>
  </si>
  <si>
    <t>STATES UNDER ROUTE</t>
  </si>
  <si>
    <t>Rate Per Sample</t>
  </si>
  <si>
    <t>BSB - NDLS Vande Bharat</t>
  </si>
  <si>
    <t>Varanasi Vande Bharat</t>
  </si>
  <si>
    <t>NDLS-BSB Vande Bharat</t>
  </si>
  <si>
    <t>NDLS-SVDK Vande Bharat</t>
  </si>
  <si>
    <t>KATRA Vande Bharat</t>
  </si>
  <si>
    <t>SVDK-NDLS Vande Bharat</t>
  </si>
  <si>
    <t>NDLS - AADR Vande Bharat</t>
  </si>
  <si>
    <t>Una Vande Bharat</t>
  </si>
  <si>
    <t>AADR - NDLS Vande Bharat</t>
  </si>
  <si>
    <t>AYC - ANVT Vande Bharat</t>
  </si>
  <si>
    <t>Ayodhya Vande Bharat</t>
  </si>
  <si>
    <t>ANVT - AYC Vande Bharat</t>
  </si>
  <si>
    <t>RKMP - NZM Vande Bharat</t>
  </si>
  <si>
    <t>Bhopal Vande Bharat</t>
  </si>
  <si>
    <t>NZM - RKMP Vande Bharat</t>
  </si>
  <si>
    <t>LJN SWRAN Shatabdi</t>
  </si>
  <si>
    <t>Lucknow Shatabdi</t>
  </si>
  <si>
    <t>NDLS - LJN SWRAN Shatabdi</t>
  </si>
  <si>
    <t>NDLS - KLK Shatabdi</t>
  </si>
  <si>
    <t>Kalka Shatabdi</t>
  </si>
  <si>
    <t>KLK - NDLS Shatabdi</t>
  </si>
  <si>
    <t>NDLS - AII Shatabdi</t>
  </si>
  <si>
    <t>Ajmer Shatabdi</t>
  </si>
  <si>
    <t>AII - NDLS Shatabdi</t>
  </si>
  <si>
    <t>Kanpur - New Delhi Shatabdi</t>
  </si>
  <si>
    <t>Kanpur Shatabdi</t>
  </si>
  <si>
    <t>New Delhi - Kanpur Shatabdi</t>
  </si>
  <si>
    <t>New Delhi - Amritsar Shatabdi</t>
  </si>
  <si>
    <t>Amritsar Shatabdi</t>
  </si>
  <si>
    <t>Amritsar - New Delhi Shatabdi</t>
  </si>
  <si>
    <t>KGM - NDLS Shatabdi</t>
  </si>
  <si>
    <t>Kathgodam Shatabdi</t>
  </si>
  <si>
    <t>NDLS - KGM Shatabdi</t>
  </si>
  <si>
    <t>NDLS - CDG Shatabdi Express</t>
  </si>
  <si>
    <t>Chandigarh Shatabdi</t>
  </si>
  <si>
    <t>CDG - NDLS Shatabdi Express</t>
  </si>
  <si>
    <t>ERS - NZM Duranto Express</t>
  </si>
  <si>
    <t>Ernakulam Duranto</t>
  </si>
  <si>
    <t>NZM - ERS Duranto Express</t>
  </si>
  <si>
    <t>New Delhi, Kanpur, Prayagraj, Varanasi</t>
  </si>
  <si>
    <t>UP, DL</t>
  </si>
  <si>
    <t>New Delhi, Ambala, Ludhiana, Jammu &amp; Katra</t>
  </si>
  <si>
    <t>DL, HR, PB, JK</t>
  </si>
  <si>
    <t>New Delhi, Ambala, Ludhiana, Kathua, Jammu, Udhampur &amp; Katra</t>
  </si>
  <si>
    <t>New Delhi, Ambala, Chandigarh, Anandpur Sahib, Una Himachal, Andaura</t>
  </si>
  <si>
    <t>DL, HR, PB, HP, CH</t>
  </si>
  <si>
    <t>Ayodhya, Lucknow, Kanpur, Anand Vihar</t>
  </si>
  <si>
    <t>DL, UP</t>
  </si>
  <si>
    <t>Rani Kamlapati, Gwalior, Agra, Nizamuddin</t>
  </si>
  <si>
    <t>MP, UP, DL</t>
  </si>
  <si>
    <t>New Delhi, Ghaziabad, Aligarh, Etawah, kanpur, Lucknow</t>
  </si>
  <si>
    <t>New Delhi, Panipat, Ambala, Chandigarh, Kalka</t>
  </si>
  <si>
    <t>DL, HR</t>
  </si>
  <si>
    <t>New Delhi, Delhi Cant, Gurgaon, Rewari, Alwar, Jaipur, Kishangarh, Ajmer</t>
  </si>
  <si>
    <t>DL, HR, RJ</t>
  </si>
  <si>
    <t>New Delhi, Ghaziabad, Aligarh, Etawah, Kanpur</t>
  </si>
  <si>
    <t>New Delhi, Ambala Cant, Sirhind, Ludhiana, Phagwara, Jalandhar City, Beas, Amritsar</t>
  </si>
  <si>
    <t>DL, HR, PB</t>
  </si>
  <si>
    <t>New Delhi, Ambala Cant, Rajpura, Ludhiana, Phagwara, Jalandhar City, Beas, Amritsar</t>
  </si>
  <si>
    <t>New Delhi, Ghaziabad, Moradabad, Rampur, Rudrapur, Haldwani, Kathgodam</t>
  </si>
  <si>
    <t>DL, UP, UK</t>
  </si>
  <si>
    <t>New Delhi, Karnal, Ambala, Chandigarh</t>
  </si>
  <si>
    <t>DL, PB,HR</t>
  </si>
  <si>
    <t>Ernakulam, Kozhikode, Mangaluru, Madgaon, Ratnagiri, Panvel, Vasai, Surat, Vadodara, Ratlam, Kota, Nizamuddin</t>
  </si>
  <si>
    <t>KL, GA, MH, GJ, MP, RJ, DL</t>
  </si>
  <si>
    <t>Transit Media : Indian Train Branding (Sampling)</t>
  </si>
  <si>
    <t>MOQ</t>
  </si>
  <si>
    <t>GST 18%</t>
  </si>
  <si>
    <t>Cost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</si>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</sst>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mbria"/>
      <family val="1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6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10C3C"/>
        <bgColor theme="1"/>
      </patternFill>
    </fill>
    <fill>
      <patternFill patternType="solid">
        <fgColor rgb="FF510C3C"/>
        <bgColor rgb="FFE5E5E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/>
    </xf>
    <xf numFmtId="3" fontId="5" fillId="3" borderId="6" xfId="0" applyNumberFormat="1" applyFon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2164080</xdr:colOff>
      <xdr:row>0</xdr:row>
      <xdr:rowOff>38100</xdr:rowOff>
    </xdr:from>
    <xdr:to>
      <xdr:col>6</xdr:col>
      <xdr:colOff>3825240</xdr:colOff>
      <xdr:row>6</xdr:row>
      <xdr:rowOff>121920</xdr:rowOff>
    </xdr:to>
    <xdr:pic>
      <xdr:nvPicPr>
        <xdr:cNvPr id="2" name="Picture 1" descr="C:\Users\Tamanna\AppData\Local\Packages\5319275A.WhatsAppDesktop_cv1g1gvanyjgm\LocalState\sessions\CB698E7C145ABB99BC302CCF4EEA35E9BB0E061F\transfers\2026-06\Ep- NEW LOGO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0280" y="38100"/>
          <a:ext cx="1661160" cy="1844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2"/>
  <sheetViews>
    <sheetView tabSelected="1" topLeftCell="I1" workbookViewId="0">
      <selection activeCell="L11" sqref="L11"/>
    </sheetView>
  </sheetViews>
  <sheetFormatPr defaultRowHeight="14.4" x14ac:dyDescent="0.3"/>
  <cols>
    <col min="1" max="1" width="7.109375" customWidth="1"/>
    <col min="3" max="3" width="23.109375" customWidth="1"/>
    <col min="4" max="4" width="22.5546875" bestFit="1" customWidth="1"/>
    <col min="5" max="5" width="26.21875" bestFit="1" customWidth="1"/>
    <col min="6" max="6" width="24.33203125" bestFit="1" customWidth="1"/>
    <col min="7" max="7" width="73.88671875" customWidth="1"/>
    <col min="8" max="8" width="25" bestFit="1" customWidth="1"/>
    <col min="9" max="11" width="25" customWidth="1"/>
    <col min="12" max="12" width="21" customWidth="1"/>
    <col min="13" max="13" width="12.5546875" customWidth="1"/>
  </cols>
  <sheetData>
    <row r="1" spans="2:13" ht="18.600000000000001" customHeight="1" x14ac:dyDescent="0.3"/>
    <row r="2" spans="2:13" ht="25.8" customHeight="1" x14ac:dyDescent="0.3"/>
    <row r="3" spans="2:13" ht="21.6" customHeight="1" x14ac:dyDescent="0.3"/>
    <row r="4" spans="2:13" ht="24.6" customHeight="1" x14ac:dyDescent="0.3"/>
    <row r="5" spans="2:13" ht="22.8" customHeight="1" x14ac:dyDescent="0.3"/>
    <row r="6" spans="2:13" ht="25.2" customHeight="1" x14ac:dyDescent="0.3"/>
    <row r="7" spans="2:13" ht="21.6" thickBot="1" x14ac:dyDescent="0.35">
      <c r="B7" s="14" t="s">
        <v>80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2:13" x14ac:dyDescent="0.3">
      <c r="B8" s="8" t="s">
        <v>0</v>
      </c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  <c r="H8" s="9" t="s">
        <v>13</v>
      </c>
      <c r="I8" s="9" t="s">
        <v>81</v>
      </c>
      <c r="J8" s="9" t="s">
        <v>14</v>
      </c>
      <c r="K8" s="9" t="s">
        <v>83</v>
      </c>
      <c r="L8" s="9" t="s">
        <v>82</v>
      </c>
      <c r="M8" s="19" t="s">
        <v>84</v>
      </c>
    </row>
    <row r="9" spans="2:13" x14ac:dyDescent="0.3">
      <c r="B9" s="10">
        <v>1</v>
      </c>
      <c r="C9" s="2">
        <v>22435</v>
      </c>
      <c r="D9" s="1" t="s">
        <v>15</v>
      </c>
      <c r="E9" s="2" t="s">
        <v>16</v>
      </c>
      <c r="F9" s="2">
        <v>37200</v>
      </c>
      <c r="G9" s="16" t="s">
        <v>54</v>
      </c>
      <c r="H9" s="16" t="s">
        <v>55</v>
      </c>
      <c r="I9" s="2">
        <v>100000</v>
      </c>
      <c r="J9" s="3">
        <v>5</v>
      </c>
      <c r="K9" s="3">
        <f>J9*I9</f>
        <v>500000</v>
      </c>
      <c r="L9" s="3">
        <f>K9*18%</f>
        <v>90000</v>
      </c>
      <c r="M9" s="20">
        <f>L9+K9</f>
        <v>590000</v>
      </c>
    </row>
    <row r="10" spans="2:13" x14ac:dyDescent="0.3">
      <c r="B10" s="10">
        <f>B9+1</f>
        <v>2</v>
      </c>
      <c r="C10" s="2">
        <v>22436</v>
      </c>
      <c r="D10" s="1" t="s">
        <v>17</v>
      </c>
      <c r="E10" s="2" t="s">
        <v>16</v>
      </c>
      <c r="F10" s="2">
        <v>37200</v>
      </c>
      <c r="G10" s="16"/>
      <c r="H10" s="16"/>
      <c r="I10" s="2">
        <v>100000</v>
      </c>
      <c r="J10" s="3">
        <v>5</v>
      </c>
      <c r="K10" s="3">
        <f t="shared" ref="K10:K42" si="0">J10*I10</f>
        <v>500000</v>
      </c>
      <c r="L10" s="3">
        <f t="shared" ref="L10:L42" si="1">K10*18%</f>
        <v>90000</v>
      </c>
      <c r="M10" s="20">
        <f t="shared" ref="M10:M42" si="2">L10+K10</f>
        <v>590000</v>
      </c>
    </row>
    <row r="11" spans="2:13" x14ac:dyDescent="0.3">
      <c r="B11" s="10">
        <f t="shared" ref="B11:B42" si="3">B10+1</f>
        <v>3</v>
      </c>
      <c r="C11" s="2">
        <v>22415</v>
      </c>
      <c r="D11" s="1" t="s">
        <v>15</v>
      </c>
      <c r="E11" s="2" t="s">
        <v>16</v>
      </c>
      <c r="F11" s="2">
        <v>37200</v>
      </c>
      <c r="G11" s="16" t="s">
        <v>54</v>
      </c>
      <c r="H11" s="16" t="s">
        <v>55</v>
      </c>
      <c r="I11" s="2">
        <v>100000</v>
      </c>
      <c r="J11" s="3">
        <v>5</v>
      </c>
      <c r="K11" s="3">
        <f t="shared" si="0"/>
        <v>500000</v>
      </c>
      <c r="L11" s="3">
        <f t="shared" si="1"/>
        <v>90000</v>
      </c>
      <c r="M11" s="20">
        <f t="shared" si="2"/>
        <v>590000</v>
      </c>
    </row>
    <row r="12" spans="2:13" x14ac:dyDescent="0.3">
      <c r="B12" s="10">
        <f t="shared" si="3"/>
        <v>4</v>
      </c>
      <c r="C12" s="2">
        <v>22416</v>
      </c>
      <c r="D12" s="1" t="s">
        <v>17</v>
      </c>
      <c r="E12" s="2" t="s">
        <v>16</v>
      </c>
      <c r="F12" s="2">
        <v>37200</v>
      </c>
      <c r="G12" s="16"/>
      <c r="H12" s="16"/>
      <c r="I12" s="2">
        <v>100000</v>
      </c>
      <c r="J12" s="3">
        <v>5</v>
      </c>
      <c r="K12" s="3">
        <f t="shared" si="0"/>
        <v>500000</v>
      </c>
      <c r="L12" s="3">
        <f t="shared" si="1"/>
        <v>90000</v>
      </c>
      <c r="M12" s="20">
        <f t="shared" si="2"/>
        <v>590000</v>
      </c>
    </row>
    <row r="13" spans="2:13" x14ac:dyDescent="0.3">
      <c r="B13" s="10">
        <f t="shared" si="3"/>
        <v>5</v>
      </c>
      <c r="C13" s="2">
        <v>22439</v>
      </c>
      <c r="D13" s="1" t="s">
        <v>18</v>
      </c>
      <c r="E13" s="2" t="s">
        <v>19</v>
      </c>
      <c r="F13" s="2">
        <v>37200</v>
      </c>
      <c r="G13" s="16" t="s">
        <v>56</v>
      </c>
      <c r="H13" s="16" t="s">
        <v>57</v>
      </c>
      <c r="I13" s="2">
        <v>100000</v>
      </c>
      <c r="J13" s="3">
        <v>5</v>
      </c>
      <c r="K13" s="3">
        <f t="shared" si="0"/>
        <v>500000</v>
      </c>
      <c r="L13" s="3">
        <f t="shared" si="1"/>
        <v>90000</v>
      </c>
      <c r="M13" s="20">
        <f t="shared" si="2"/>
        <v>590000</v>
      </c>
    </row>
    <row r="14" spans="2:13" x14ac:dyDescent="0.3">
      <c r="B14" s="10">
        <f t="shared" si="3"/>
        <v>6</v>
      </c>
      <c r="C14" s="2">
        <v>22440</v>
      </c>
      <c r="D14" s="1" t="s">
        <v>20</v>
      </c>
      <c r="E14" s="2" t="s">
        <v>19</v>
      </c>
      <c r="F14" s="2">
        <v>37200</v>
      </c>
      <c r="G14" s="16"/>
      <c r="H14" s="16"/>
      <c r="I14" s="2">
        <v>100000</v>
      </c>
      <c r="J14" s="3">
        <v>5</v>
      </c>
      <c r="K14" s="3">
        <f t="shared" si="0"/>
        <v>500000</v>
      </c>
      <c r="L14" s="3">
        <f t="shared" si="1"/>
        <v>90000</v>
      </c>
      <c r="M14" s="20">
        <f t="shared" si="2"/>
        <v>590000</v>
      </c>
    </row>
    <row r="15" spans="2:13" x14ac:dyDescent="0.3">
      <c r="B15" s="10">
        <f t="shared" si="3"/>
        <v>7</v>
      </c>
      <c r="C15" s="2">
        <v>22477</v>
      </c>
      <c r="D15" s="1" t="s">
        <v>18</v>
      </c>
      <c r="E15" s="2" t="s">
        <v>19</v>
      </c>
      <c r="F15" s="2">
        <v>37200</v>
      </c>
      <c r="G15" s="16" t="s">
        <v>58</v>
      </c>
      <c r="H15" s="16" t="s">
        <v>57</v>
      </c>
      <c r="I15" s="2">
        <v>100000</v>
      </c>
      <c r="J15" s="3">
        <v>5</v>
      </c>
      <c r="K15" s="3">
        <f t="shared" si="0"/>
        <v>500000</v>
      </c>
      <c r="L15" s="3">
        <f t="shared" si="1"/>
        <v>90000</v>
      </c>
      <c r="M15" s="20">
        <f t="shared" si="2"/>
        <v>590000</v>
      </c>
    </row>
    <row r="16" spans="2:13" x14ac:dyDescent="0.3">
      <c r="B16" s="10">
        <f t="shared" si="3"/>
        <v>8</v>
      </c>
      <c r="C16" s="2">
        <v>22478</v>
      </c>
      <c r="D16" s="1" t="s">
        <v>20</v>
      </c>
      <c r="E16" s="2" t="s">
        <v>19</v>
      </c>
      <c r="F16" s="2">
        <v>37200</v>
      </c>
      <c r="G16" s="16"/>
      <c r="H16" s="16"/>
      <c r="I16" s="2">
        <v>100000</v>
      </c>
      <c r="J16" s="3">
        <v>5</v>
      </c>
      <c r="K16" s="3">
        <f t="shared" si="0"/>
        <v>500000</v>
      </c>
      <c r="L16" s="3">
        <f t="shared" si="1"/>
        <v>90000</v>
      </c>
      <c r="M16" s="20">
        <f t="shared" si="2"/>
        <v>590000</v>
      </c>
    </row>
    <row r="17" spans="2:13" x14ac:dyDescent="0.3">
      <c r="B17" s="10">
        <f t="shared" si="3"/>
        <v>9</v>
      </c>
      <c r="C17" s="2">
        <v>22447</v>
      </c>
      <c r="D17" s="1" t="s">
        <v>21</v>
      </c>
      <c r="E17" s="2" t="s">
        <v>22</v>
      </c>
      <c r="F17" s="2">
        <v>30000</v>
      </c>
      <c r="G17" s="16" t="s">
        <v>59</v>
      </c>
      <c r="H17" s="16" t="s">
        <v>60</v>
      </c>
      <c r="I17" s="2">
        <v>100000</v>
      </c>
      <c r="J17" s="3">
        <v>5</v>
      </c>
      <c r="K17" s="3">
        <f t="shared" si="0"/>
        <v>500000</v>
      </c>
      <c r="L17" s="3">
        <f t="shared" si="1"/>
        <v>90000</v>
      </c>
      <c r="M17" s="20">
        <f t="shared" si="2"/>
        <v>590000</v>
      </c>
    </row>
    <row r="18" spans="2:13" x14ac:dyDescent="0.3">
      <c r="B18" s="10">
        <f t="shared" si="3"/>
        <v>10</v>
      </c>
      <c r="C18" s="2">
        <v>22448</v>
      </c>
      <c r="D18" s="1" t="s">
        <v>23</v>
      </c>
      <c r="E18" s="2" t="s">
        <v>22</v>
      </c>
      <c r="F18" s="2">
        <v>30000</v>
      </c>
      <c r="G18" s="16"/>
      <c r="H18" s="16"/>
      <c r="I18" s="2">
        <v>100000</v>
      </c>
      <c r="J18" s="3">
        <v>5</v>
      </c>
      <c r="K18" s="3">
        <f t="shared" si="0"/>
        <v>500000</v>
      </c>
      <c r="L18" s="3">
        <f t="shared" si="1"/>
        <v>90000</v>
      </c>
      <c r="M18" s="20">
        <f t="shared" si="2"/>
        <v>590000</v>
      </c>
    </row>
    <row r="19" spans="2:13" x14ac:dyDescent="0.3">
      <c r="B19" s="10">
        <f t="shared" si="3"/>
        <v>11</v>
      </c>
      <c r="C19" s="2">
        <v>22425</v>
      </c>
      <c r="D19" s="1" t="s">
        <v>24</v>
      </c>
      <c r="E19" s="2" t="s">
        <v>25</v>
      </c>
      <c r="F19" s="2">
        <v>37200</v>
      </c>
      <c r="G19" s="16" t="s">
        <v>61</v>
      </c>
      <c r="H19" s="16" t="s">
        <v>62</v>
      </c>
      <c r="I19" s="2">
        <v>100000</v>
      </c>
      <c r="J19" s="3">
        <v>5</v>
      </c>
      <c r="K19" s="3">
        <f t="shared" si="0"/>
        <v>500000</v>
      </c>
      <c r="L19" s="3">
        <f t="shared" si="1"/>
        <v>90000</v>
      </c>
      <c r="M19" s="20">
        <f t="shared" si="2"/>
        <v>590000</v>
      </c>
    </row>
    <row r="20" spans="2:13" x14ac:dyDescent="0.3">
      <c r="B20" s="10">
        <f t="shared" si="3"/>
        <v>12</v>
      </c>
      <c r="C20" s="2">
        <v>22426</v>
      </c>
      <c r="D20" s="1" t="s">
        <v>26</v>
      </c>
      <c r="E20" s="2" t="s">
        <v>25</v>
      </c>
      <c r="F20" s="2">
        <v>37200</v>
      </c>
      <c r="G20" s="16"/>
      <c r="H20" s="16"/>
      <c r="I20" s="2">
        <v>100000</v>
      </c>
      <c r="J20" s="3">
        <v>5</v>
      </c>
      <c r="K20" s="3">
        <f t="shared" si="0"/>
        <v>500000</v>
      </c>
      <c r="L20" s="3">
        <f t="shared" si="1"/>
        <v>90000</v>
      </c>
      <c r="M20" s="20">
        <f t="shared" si="2"/>
        <v>590000</v>
      </c>
    </row>
    <row r="21" spans="2:13" x14ac:dyDescent="0.3">
      <c r="B21" s="10">
        <f t="shared" si="3"/>
        <v>13</v>
      </c>
      <c r="C21" s="2">
        <v>20171</v>
      </c>
      <c r="D21" s="1" t="s">
        <v>27</v>
      </c>
      <c r="E21" s="2" t="s">
        <v>28</v>
      </c>
      <c r="F21" s="2">
        <v>30000</v>
      </c>
      <c r="G21" s="16" t="s">
        <v>63</v>
      </c>
      <c r="H21" s="16" t="s">
        <v>64</v>
      </c>
      <c r="I21" s="2">
        <v>100000</v>
      </c>
      <c r="J21" s="3">
        <v>5</v>
      </c>
      <c r="K21" s="3">
        <f t="shared" si="0"/>
        <v>500000</v>
      </c>
      <c r="L21" s="3">
        <f t="shared" si="1"/>
        <v>90000</v>
      </c>
      <c r="M21" s="20">
        <f t="shared" si="2"/>
        <v>590000</v>
      </c>
    </row>
    <row r="22" spans="2:13" x14ac:dyDescent="0.3">
      <c r="B22" s="10">
        <f t="shared" si="3"/>
        <v>14</v>
      </c>
      <c r="C22" s="2">
        <v>20172</v>
      </c>
      <c r="D22" s="1" t="s">
        <v>29</v>
      </c>
      <c r="E22" s="4" t="s">
        <v>28</v>
      </c>
      <c r="F22" s="4">
        <v>30000</v>
      </c>
      <c r="G22" s="16"/>
      <c r="H22" s="16"/>
      <c r="I22" s="2">
        <v>100000</v>
      </c>
      <c r="J22" s="3">
        <v>5</v>
      </c>
      <c r="K22" s="3">
        <f t="shared" si="0"/>
        <v>500000</v>
      </c>
      <c r="L22" s="3">
        <f t="shared" si="1"/>
        <v>90000</v>
      </c>
      <c r="M22" s="20">
        <f t="shared" si="2"/>
        <v>590000</v>
      </c>
    </row>
    <row r="23" spans="2:13" x14ac:dyDescent="0.3">
      <c r="B23" s="10">
        <f t="shared" si="3"/>
        <v>15</v>
      </c>
      <c r="C23" s="2">
        <v>12003</v>
      </c>
      <c r="D23" s="1" t="s">
        <v>30</v>
      </c>
      <c r="E23" s="2" t="s">
        <v>31</v>
      </c>
      <c r="F23" s="2">
        <v>42000</v>
      </c>
      <c r="G23" s="16" t="s">
        <v>65</v>
      </c>
      <c r="H23" s="16" t="s">
        <v>55</v>
      </c>
      <c r="I23" s="2">
        <v>100000</v>
      </c>
      <c r="J23" s="3">
        <v>5</v>
      </c>
      <c r="K23" s="3">
        <f t="shared" si="0"/>
        <v>500000</v>
      </c>
      <c r="L23" s="3">
        <f t="shared" si="1"/>
        <v>90000</v>
      </c>
      <c r="M23" s="20">
        <f t="shared" si="2"/>
        <v>590000</v>
      </c>
    </row>
    <row r="24" spans="2:13" x14ac:dyDescent="0.3">
      <c r="B24" s="10">
        <f t="shared" si="3"/>
        <v>16</v>
      </c>
      <c r="C24" s="2">
        <v>12004</v>
      </c>
      <c r="D24" s="1" t="s">
        <v>32</v>
      </c>
      <c r="E24" s="2" t="s">
        <v>31</v>
      </c>
      <c r="F24" s="2">
        <v>42000</v>
      </c>
      <c r="G24" s="16"/>
      <c r="H24" s="16"/>
      <c r="I24" s="2">
        <v>100000</v>
      </c>
      <c r="J24" s="3">
        <v>5</v>
      </c>
      <c r="K24" s="3">
        <f t="shared" si="0"/>
        <v>500000</v>
      </c>
      <c r="L24" s="3">
        <f t="shared" si="1"/>
        <v>90000</v>
      </c>
      <c r="M24" s="20">
        <f t="shared" si="2"/>
        <v>590000</v>
      </c>
    </row>
    <row r="25" spans="2:13" x14ac:dyDescent="0.3">
      <c r="B25" s="10">
        <f t="shared" si="3"/>
        <v>17</v>
      </c>
      <c r="C25" s="2">
        <v>12005</v>
      </c>
      <c r="D25" s="1" t="s">
        <v>33</v>
      </c>
      <c r="E25" s="2" t="s">
        <v>34</v>
      </c>
      <c r="F25" s="2">
        <v>36000</v>
      </c>
      <c r="G25" s="16" t="s">
        <v>66</v>
      </c>
      <c r="H25" s="16" t="s">
        <v>67</v>
      </c>
      <c r="I25" s="2">
        <v>100000</v>
      </c>
      <c r="J25" s="3">
        <v>5</v>
      </c>
      <c r="K25" s="3">
        <f t="shared" si="0"/>
        <v>500000</v>
      </c>
      <c r="L25" s="3">
        <f t="shared" si="1"/>
        <v>90000</v>
      </c>
      <c r="M25" s="20">
        <f t="shared" si="2"/>
        <v>590000</v>
      </c>
    </row>
    <row r="26" spans="2:13" x14ac:dyDescent="0.3">
      <c r="B26" s="10">
        <f t="shared" si="3"/>
        <v>18</v>
      </c>
      <c r="C26" s="2">
        <v>12006</v>
      </c>
      <c r="D26" s="1" t="s">
        <v>35</v>
      </c>
      <c r="E26" s="2" t="s">
        <v>34</v>
      </c>
      <c r="F26" s="2">
        <v>36000</v>
      </c>
      <c r="G26" s="16"/>
      <c r="H26" s="16"/>
      <c r="I26" s="2">
        <v>100000</v>
      </c>
      <c r="J26" s="3">
        <v>5</v>
      </c>
      <c r="K26" s="3">
        <f t="shared" si="0"/>
        <v>500000</v>
      </c>
      <c r="L26" s="3">
        <f t="shared" si="1"/>
        <v>90000</v>
      </c>
      <c r="M26" s="20">
        <f t="shared" si="2"/>
        <v>590000</v>
      </c>
    </row>
    <row r="27" spans="2:13" x14ac:dyDescent="0.3">
      <c r="B27" s="10">
        <f t="shared" si="3"/>
        <v>19</v>
      </c>
      <c r="C27" s="2">
        <v>12015</v>
      </c>
      <c r="D27" s="1" t="s">
        <v>36</v>
      </c>
      <c r="E27" s="2" t="s">
        <v>37</v>
      </c>
      <c r="F27" s="2">
        <v>36000</v>
      </c>
      <c r="G27" s="16" t="s">
        <v>68</v>
      </c>
      <c r="H27" s="16" t="s">
        <v>69</v>
      </c>
      <c r="I27" s="2">
        <v>100000</v>
      </c>
      <c r="J27" s="3">
        <v>5</v>
      </c>
      <c r="K27" s="3">
        <f t="shared" si="0"/>
        <v>500000</v>
      </c>
      <c r="L27" s="3">
        <f t="shared" si="1"/>
        <v>90000</v>
      </c>
      <c r="M27" s="20">
        <f t="shared" si="2"/>
        <v>590000</v>
      </c>
    </row>
    <row r="28" spans="2:13" x14ac:dyDescent="0.3">
      <c r="B28" s="10">
        <f t="shared" si="3"/>
        <v>20</v>
      </c>
      <c r="C28" s="2">
        <v>12016</v>
      </c>
      <c r="D28" s="1" t="s">
        <v>38</v>
      </c>
      <c r="E28" s="2" t="s">
        <v>37</v>
      </c>
      <c r="F28" s="2">
        <v>36000</v>
      </c>
      <c r="G28" s="16"/>
      <c r="H28" s="16"/>
      <c r="I28" s="2">
        <v>100000</v>
      </c>
      <c r="J28" s="3">
        <v>5</v>
      </c>
      <c r="K28" s="3">
        <f t="shared" si="0"/>
        <v>500000</v>
      </c>
      <c r="L28" s="3">
        <f t="shared" si="1"/>
        <v>90000</v>
      </c>
      <c r="M28" s="20">
        <f t="shared" si="2"/>
        <v>590000</v>
      </c>
    </row>
    <row r="29" spans="2:13" x14ac:dyDescent="0.3">
      <c r="B29" s="10">
        <f t="shared" si="3"/>
        <v>21</v>
      </c>
      <c r="C29" s="2">
        <v>12033</v>
      </c>
      <c r="D29" s="1" t="s">
        <v>39</v>
      </c>
      <c r="E29" s="2" t="s">
        <v>40</v>
      </c>
      <c r="F29" s="2">
        <v>24000</v>
      </c>
      <c r="G29" s="16" t="s">
        <v>70</v>
      </c>
      <c r="H29" s="16" t="s">
        <v>55</v>
      </c>
      <c r="I29" s="2">
        <v>100000</v>
      </c>
      <c r="J29" s="3">
        <v>5</v>
      </c>
      <c r="K29" s="3">
        <f t="shared" si="0"/>
        <v>500000</v>
      </c>
      <c r="L29" s="3">
        <f t="shared" si="1"/>
        <v>90000</v>
      </c>
      <c r="M29" s="20">
        <f t="shared" si="2"/>
        <v>590000</v>
      </c>
    </row>
    <row r="30" spans="2:13" x14ac:dyDescent="0.3">
      <c r="B30" s="10">
        <f t="shared" si="3"/>
        <v>22</v>
      </c>
      <c r="C30" s="2">
        <v>12034</v>
      </c>
      <c r="D30" s="1" t="s">
        <v>41</v>
      </c>
      <c r="E30" s="2" t="s">
        <v>40</v>
      </c>
      <c r="F30" s="2">
        <v>24000</v>
      </c>
      <c r="G30" s="16"/>
      <c r="H30" s="16"/>
      <c r="I30" s="2">
        <v>100000</v>
      </c>
      <c r="J30" s="3">
        <v>5</v>
      </c>
      <c r="K30" s="3">
        <f t="shared" si="0"/>
        <v>500000</v>
      </c>
      <c r="L30" s="3">
        <f t="shared" si="1"/>
        <v>90000</v>
      </c>
      <c r="M30" s="20">
        <f t="shared" si="2"/>
        <v>590000</v>
      </c>
    </row>
    <row r="31" spans="2:13" x14ac:dyDescent="0.3">
      <c r="B31" s="10">
        <f t="shared" si="3"/>
        <v>23</v>
      </c>
      <c r="C31" s="2">
        <v>12013</v>
      </c>
      <c r="D31" s="1" t="s">
        <v>42</v>
      </c>
      <c r="E31" s="2" t="s">
        <v>43</v>
      </c>
      <c r="F31" s="2">
        <v>39000</v>
      </c>
      <c r="G31" s="16" t="s">
        <v>71</v>
      </c>
      <c r="H31" s="16" t="s">
        <v>72</v>
      </c>
      <c r="I31" s="2">
        <v>100000</v>
      </c>
      <c r="J31" s="3">
        <v>5</v>
      </c>
      <c r="K31" s="3">
        <f t="shared" si="0"/>
        <v>500000</v>
      </c>
      <c r="L31" s="3">
        <f t="shared" si="1"/>
        <v>90000</v>
      </c>
      <c r="M31" s="20">
        <f t="shared" si="2"/>
        <v>590000</v>
      </c>
    </row>
    <row r="32" spans="2:13" x14ac:dyDescent="0.3">
      <c r="B32" s="10">
        <f t="shared" si="3"/>
        <v>24</v>
      </c>
      <c r="C32" s="2">
        <v>12014</v>
      </c>
      <c r="D32" s="1" t="s">
        <v>44</v>
      </c>
      <c r="E32" s="2" t="s">
        <v>43</v>
      </c>
      <c r="F32" s="2">
        <v>39000</v>
      </c>
      <c r="G32" s="16"/>
      <c r="H32" s="16"/>
      <c r="I32" s="2">
        <v>100000</v>
      </c>
      <c r="J32" s="3">
        <v>5</v>
      </c>
      <c r="K32" s="3">
        <f t="shared" si="0"/>
        <v>500000</v>
      </c>
      <c r="L32" s="3">
        <f t="shared" si="1"/>
        <v>90000</v>
      </c>
      <c r="M32" s="20">
        <f t="shared" si="2"/>
        <v>590000</v>
      </c>
    </row>
    <row r="33" spans="2:13" x14ac:dyDescent="0.3">
      <c r="B33" s="10">
        <f t="shared" si="3"/>
        <v>25</v>
      </c>
      <c r="C33" s="2">
        <v>12029</v>
      </c>
      <c r="D33" s="1" t="s">
        <v>42</v>
      </c>
      <c r="E33" s="2" t="s">
        <v>43</v>
      </c>
      <c r="F33" s="2">
        <v>40500</v>
      </c>
      <c r="G33" s="16" t="s">
        <v>73</v>
      </c>
      <c r="H33" s="16" t="s">
        <v>72</v>
      </c>
      <c r="I33" s="2">
        <v>100000</v>
      </c>
      <c r="J33" s="3">
        <v>5</v>
      </c>
      <c r="K33" s="3">
        <f t="shared" si="0"/>
        <v>500000</v>
      </c>
      <c r="L33" s="3">
        <f t="shared" si="1"/>
        <v>90000</v>
      </c>
      <c r="M33" s="20">
        <f t="shared" si="2"/>
        <v>590000</v>
      </c>
    </row>
    <row r="34" spans="2:13" x14ac:dyDescent="0.3">
      <c r="B34" s="10">
        <f t="shared" si="3"/>
        <v>26</v>
      </c>
      <c r="C34" s="2">
        <v>12030</v>
      </c>
      <c r="D34" s="1" t="s">
        <v>44</v>
      </c>
      <c r="E34" s="2" t="s">
        <v>43</v>
      </c>
      <c r="F34" s="2">
        <v>40500</v>
      </c>
      <c r="G34" s="16"/>
      <c r="H34" s="16"/>
      <c r="I34" s="2">
        <v>100000</v>
      </c>
      <c r="J34" s="3">
        <v>5</v>
      </c>
      <c r="K34" s="3">
        <f t="shared" si="0"/>
        <v>500000</v>
      </c>
      <c r="L34" s="3">
        <f t="shared" si="1"/>
        <v>90000</v>
      </c>
      <c r="M34" s="20">
        <f t="shared" si="2"/>
        <v>590000</v>
      </c>
    </row>
    <row r="35" spans="2:13" x14ac:dyDescent="0.3">
      <c r="B35" s="10">
        <f t="shared" si="3"/>
        <v>27</v>
      </c>
      <c r="C35" s="2">
        <v>12031</v>
      </c>
      <c r="D35" s="1" t="s">
        <v>42</v>
      </c>
      <c r="E35" s="2" t="s">
        <v>43</v>
      </c>
      <c r="F35" s="2">
        <v>40500</v>
      </c>
      <c r="G35" s="16" t="s">
        <v>71</v>
      </c>
      <c r="H35" s="16" t="s">
        <v>72</v>
      </c>
      <c r="I35" s="2">
        <v>100000</v>
      </c>
      <c r="J35" s="3">
        <v>5</v>
      </c>
      <c r="K35" s="3">
        <f t="shared" si="0"/>
        <v>500000</v>
      </c>
      <c r="L35" s="3">
        <f t="shared" si="1"/>
        <v>90000</v>
      </c>
      <c r="M35" s="20">
        <f t="shared" si="2"/>
        <v>590000</v>
      </c>
    </row>
    <row r="36" spans="2:13" x14ac:dyDescent="0.3">
      <c r="B36" s="10">
        <f t="shared" si="3"/>
        <v>28</v>
      </c>
      <c r="C36" s="2">
        <v>12032</v>
      </c>
      <c r="D36" s="1" t="s">
        <v>44</v>
      </c>
      <c r="E36" s="2" t="s">
        <v>43</v>
      </c>
      <c r="F36" s="2">
        <v>40500</v>
      </c>
      <c r="G36" s="16"/>
      <c r="H36" s="16"/>
      <c r="I36" s="2">
        <v>100000</v>
      </c>
      <c r="J36" s="3">
        <v>5</v>
      </c>
      <c r="K36" s="3">
        <f t="shared" si="0"/>
        <v>500000</v>
      </c>
      <c r="L36" s="3">
        <f t="shared" si="1"/>
        <v>90000</v>
      </c>
      <c r="M36" s="20">
        <f t="shared" si="2"/>
        <v>590000</v>
      </c>
    </row>
    <row r="37" spans="2:13" x14ac:dyDescent="0.3">
      <c r="B37" s="10">
        <f t="shared" si="3"/>
        <v>29</v>
      </c>
      <c r="C37" s="2">
        <v>12039</v>
      </c>
      <c r="D37" s="1" t="s">
        <v>45</v>
      </c>
      <c r="E37" s="2" t="s">
        <v>46</v>
      </c>
      <c r="F37" s="2">
        <v>31500</v>
      </c>
      <c r="G37" s="16" t="s">
        <v>74</v>
      </c>
      <c r="H37" s="16" t="s">
        <v>75</v>
      </c>
      <c r="I37" s="2">
        <v>100000</v>
      </c>
      <c r="J37" s="3">
        <v>5</v>
      </c>
      <c r="K37" s="3">
        <f t="shared" si="0"/>
        <v>500000</v>
      </c>
      <c r="L37" s="3">
        <f t="shared" si="1"/>
        <v>90000</v>
      </c>
      <c r="M37" s="20">
        <f t="shared" si="2"/>
        <v>590000</v>
      </c>
    </row>
    <row r="38" spans="2:13" x14ac:dyDescent="0.3">
      <c r="B38" s="10">
        <f t="shared" si="3"/>
        <v>30</v>
      </c>
      <c r="C38" s="2">
        <v>12040</v>
      </c>
      <c r="D38" s="1" t="s">
        <v>47</v>
      </c>
      <c r="E38" s="2" t="s">
        <v>46</v>
      </c>
      <c r="F38" s="2">
        <v>31500</v>
      </c>
      <c r="G38" s="16"/>
      <c r="H38" s="16"/>
      <c r="I38" s="2">
        <v>100000</v>
      </c>
      <c r="J38" s="3">
        <v>5</v>
      </c>
      <c r="K38" s="3">
        <f t="shared" si="0"/>
        <v>500000</v>
      </c>
      <c r="L38" s="3">
        <f t="shared" si="1"/>
        <v>90000</v>
      </c>
      <c r="M38" s="20">
        <f t="shared" si="2"/>
        <v>590000</v>
      </c>
    </row>
    <row r="39" spans="2:13" x14ac:dyDescent="0.3">
      <c r="B39" s="10">
        <f t="shared" si="3"/>
        <v>31</v>
      </c>
      <c r="C39" s="2">
        <v>12045</v>
      </c>
      <c r="D39" s="1" t="s">
        <v>48</v>
      </c>
      <c r="E39" s="2" t="s">
        <v>49</v>
      </c>
      <c r="F39" s="2">
        <v>19200</v>
      </c>
      <c r="G39" s="16" t="s">
        <v>76</v>
      </c>
      <c r="H39" s="16" t="s">
        <v>77</v>
      </c>
      <c r="I39" s="2">
        <v>100000</v>
      </c>
      <c r="J39" s="3">
        <v>5</v>
      </c>
      <c r="K39" s="3">
        <f t="shared" si="0"/>
        <v>500000</v>
      </c>
      <c r="L39" s="3">
        <f t="shared" si="1"/>
        <v>90000</v>
      </c>
      <c r="M39" s="20">
        <f t="shared" si="2"/>
        <v>590000</v>
      </c>
    </row>
    <row r="40" spans="2:13" x14ac:dyDescent="0.3">
      <c r="B40" s="10">
        <f t="shared" si="3"/>
        <v>32</v>
      </c>
      <c r="C40" s="2">
        <v>12046</v>
      </c>
      <c r="D40" s="1" t="s">
        <v>50</v>
      </c>
      <c r="E40" s="2" t="s">
        <v>49</v>
      </c>
      <c r="F40" s="2">
        <v>19200</v>
      </c>
      <c r="G40" s="16"/>
      <c r="H40" s="16"/>
      <c r="I40" s="2">
        <v>100000</v>
      </c>
      <c r="J40" s="3">
        <v>5</v>
      </c>
      <c r="K40" s="3">
        <f t="shared" si="0"/>
        <v>500000</v>
      </c>
      <c r="L40" s="3">
        <f t="shared" si="1"/>
        <v>90000</v>
      </c>
      <c r="M40" s="20">
        <f t="shared" si="2"/>
        <v>590000</v>
      </c>
    </row>
    <row r="41" spans="2:13" x14ac:dyDescent="0.3">
      <c r="B41" s="10">
        <f t="shared" si="3"/>
        <v>33</v>
      </c>
      <c r="C41" s="2">
        <v>12283</v>
      </c>
      <c r="D41" s="1" t="s">
        <v>51</v>
      </c>
      <c r="E41" s="2" t="s">
        <v>52</v>
      </c>
      <c r="F41" s="2">
        <v>4800</v>
      </c>
      <c r="G41" s="16" t="s">
        <v>78</v>
      </c>
      <c r="H41" s="16" t="s">
        <v>79</v>
      </c>
      <c r="I41" s="2">
        <v>100000</v>
      </c>
      <c r="J41" s="3">
        <v>5</v>
      </c>
      <c r="K41" s="3">
        <f t="shared" si="0"/>
        <v>500000</v>
      </c>
      <c r="L41" s="3">
        <f t="shared" si="1"/>
        <v>90000</v>
      </c>
      <c r="M41" s="20">
        <f t="shared" si="2"/>
        <v>590000</v>
      </c>
    </row>
    <row r="42" spans="2:13" ht="15" thickBot="1" x14ac:dyDescent="0.35">
      <c r="B42" s="11">
        <f t="shared" si="3"/>
        <v>34</v>
      </c>
      <c r="C42" s="12">
        <v>12284</v>
      </c>
      <c r="D42" s="13" t="s">
        <v>53</v>
      </c>
      <c r="E42" s="12" t="s">
        <v>52</v>
      </c>
      <c r="F42" s="12">
        <v>4800</v>
      </c>
      <c r="G42" s="17"/>
      <c r="H42" s="17"/>
      <c r="I42" s="12">
        <v>100000</v>
      </c>
      <c r="J42" s="18">
        <v>5</v>
      </c>
      <c r="K42" s="18">
        <f t="shared" si="0"/>
        <v>500000</v>
      </c>
      <c r="L42" s="18">
        <f t="shared" si="1"/>
        <v>90000</v>
      </c>
      <c r="M42" s="21">
        <f t="shared" si="2"/>
        <v>590000</v>
      </c>
    </row>
  </sheetData>
  <mergeCells count="35">
    <mergeCell ref="G9:G10"/>
    <mergeCell ref="H9:H10"/>
    <mergeCell ref="G11:G12"/>
    <mergeCell ref="H11:H12"/>
    <mergeCell ref="B7:M7"/>
    <mergeCell ref="G13:G14"/>
    <mergeCell ref="H13:H14"/>
    <mergeCell ref="G15:G16"/>
    <mergeCell ref="H15:H16"/>
    <mergeCell ref="G17:G18"/>
    <mergeCell ref="H17:H18"/>
    <mergeCell ref="G19:G20"/>
    <mergeCell ref="H19:H20"/>
    <mergeCell ref="G21:G22"/>
    <mergeCell ref="H21:H22"/>
    <mergeCell ref="G23:G24"/>
    <mergeCell ref="H23:H24"/>
    <mergeCell ref="G25:G26"/>
    <mergeCell ref="H25:H26"/>
    <mergeCell ref="G27:G28"/>
    <mergeCell ref="H27:H28"/>
    <mergeCell ref="G29:G30"/>
    <mergeCell ref="H29:H30"/>
    <mergeCell ref="G31:G32"/>
    <mergeCell ref="H31:H32"/>
    <mergeCell ref="G33:G34"/>
    <mergeCell ref="H33:H34"/>
    <mergeCell ref="G35:G36"/>
    <mergeCell ref="H35:H36"/>
    <mergeCell ref="G37:G38"/>
    <mergeCell ref="H37:H38"/>
    <mergeCell ref="G39:G40"/>
    <mergeCell ref="H39:H40"/>
    <mergeCell ref="G41:G42"/>
    <mergeCell ref="H41:H4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A8" sqref="A8"/>
    </sheetView>
  </sheetViews>
  <sheetFormatPr defaultRowHeight="14.4" x14ac:dyDescent="0.3"/>
  <sheetData>
    <row r="1" spans="1:15" ht="21" x14ac:dyDescent="0.3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3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3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3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3">
      <c r="A5" s="5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3">
      <c r="A6" s="5" t="s">
        <v>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3">
      <c r="A7" s="5" t="s">
        <v>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</sheetData>
  <mergeCells count="7">
    <mergeCell ref="A7:O7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T&amp;C - Train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Tamanna</dc:creator>
  <cp:lastModifiedBy>Tamanna</cp:lastModifiedBy>
  <dcterms:created xsi:type="dcterms:W3CDTF">2026-06-18T13:15:27Z</dcterms:created>
  <dcterms:modified xsi:type="dcterms:W3CDTF">2026-07-27T09:37:47Z</dcterms:modified>
</cp:coreProperties>
</file>