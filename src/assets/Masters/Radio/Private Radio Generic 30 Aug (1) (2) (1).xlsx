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adio\Generic Plans\"/>
    </mc:Choice>
  </mc:AlternateContent>
  <xr:revisionPtr revIDLastSave="0" documentId="13_ncr:1_{FB49FD37-7AE5-457A-B641-443338CDA420}" xr6:coauthVersionLast="36" xr6:coauthVersionMax="47" xr10:uidLastSave="{00000000-0000-0000-0000-000000000000}"/>
  <bookViews>
    <workbookView xWindow="0" yWindow="744" windowWidth="29400" windowHeight="16920" tabRatio="916" firstSheet="16" activeTab="21" xr2:uid="{00000000-000D-0000-FFFF-FFFF00000000}"/>
  </bookViews>
  <sheets>
    <sheet name="Maharastra" sheetId="1" r:id="rId1"/>
    <sheet name="Rajasthan" sheetId="2" r:id="rId2"/>
    <sheet name="Uttar Pradesh" sheetId="3" r:id="rId3"/>
    <sheet name="West Bengal" sheetId="4" r:id="rId4"/>
    <sheet name="Delhi" sheetId="5" r:id="rId5"/>
    <sheet name="Haryana" sheetId="6" r:id="rId6"/>
    <sheet name="Assam" sheetId="7" r:id="rId7"/>
    <sheet name="Tamil Nadu" sheetId="8" r:id="rId8"/>
    <sheet name="Telangana" sheetId="9" r:id="rId9"/>
    <sheet name="Puducherry" sheetId="10" r:id="rId10"/>
    <sheet name="Gujarat" sheetId="11" r:id="rId11"/>
    <sheet name="Kerela" sheetId="12" r:id="rId12"/>
    <sheet name="Goa" sheetId="13" r:id="rId13"/>
    <sheet name="Orrisa" sheetId="14" r:id="rId14"/>
    <sheet name="Uttrakhand" sheetId="15" r:id="rId15"/>
    <sheet name="Meghalaya" sheetId="16" r:id="rId16"/>
    <sheet name="Tripura" sheetId="17" r:id="rId17"/>
    <sheet name="Sikkim" sheetId="18" r:id="rId18"/>
    <sheet name="Punjab &amp; Chandigarh" sheetId="19" r:id="rId19"/>
    <sheet name="Arunachal Pradesh" sheetId="20" r:id="rId20"/>
    <sheet name="Mizoram" sheetId="21" r:id="rId21"/>
    <sheet name="Karnataka" sheetId="22" r:id="rId22"/>
    <sheet name="Andhra Pradesh" sheetId="23" r:id="rId23"/>
    <sheet name="J&amp;K" sheetId="25" r:id="rId24"/>
    <sheet name="Himachal Pradesh" sheetId="24" r:id="rId25"/>
    <sheet name="Jharkhand" sheetId="26" r:id="rId26"/>
    <sheet name="Chhatisgarh" sheetId="27" r:id="rId27"/>
    <sheet name="MP" sheetId="28" r:id="rId28"/>
    <sheet name="Ladakh" sheetId="29" r:id="rId29"/>
    <sheet name="Bihar" sheetId="30" r:id="rId30"/>
  </sheets>
  <definedNames>
    <definedName name="_xlnm._FilterDatabase" localSheetId="22" hidden="1">'Andhra Pradesh'!$B$13:$Q$23</definedName>
    <definedName name="_xlnm._FilterDatabase" localSheetId="26" hidden="1">Chhatisgarh!$B$13:$Q$20</definedName>
    <definedName name="_xlnm._FilterDatabase" localSheetId="4" hidden="1">Delhi!$B$13:$Q$23</definedName>
    <definedName name="_xlnm._FilterDatabase" localSheetId="10" hidden="1">Gujarat!$B$13:$Q$45</definedName>
    <definedName name="_xlnm._FilterDatabase" localSheetId="23" hidden="1">'J&amp;K'!$B$13:$Q$24</definedName>
    <definedName name="_xlnm._FilterDatabase" localSheetId="21" hidden="1">Karnataka!$B$13:$Q$30</definedName>
    <definedName name="_xlnm._FilterDatabase" localSheetId="11" hidden="1">Kerela!$B$13:$Q$27</definedName>
    <definedName name="_xlnm._FilterDatabase" localSheetId="0" hidden="1">Maharastra!$B$13:$Q$75</definedName>
    <definedName name="_xlnm._FilterDatabase" localSheetId="27" hidden="1">MP!$B$13:$Q$27</definedName>
    <definedName name="_xlnm._FilterDatabase" localSheetId="13" hidden="1">Orrisa!$B$13:$Q$24</definedName>
    <definedName name="_xlnm._FilterDatabase" localSheetId="18" hidden="1">'Punjab &amp; Chandigarh'!$B$13:$Q$29</definedName>
    <definedName name="_xlnm._FilterDatabase" localSheetId="1" hidden="1">Rajasthan!$B$13:$Q$39</definedName>
    <definedName name="_xlnm._FilterDatabase" localSheetId="7" hidden="1">'Tamil Nadu'!$B$13:$Q$42</definedName>
    <definedName name="_xlnm._FilterDatabase" localSheetId="2" hidden="1">'Uttar Pradesh'!$B$13:$Q$52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" i="26" l="1"/>
  <c r="O17" i="26" s="1"/>
  <c r="M18" i="26"/>
  <c r="O18" i="26" s="1"/>
  <c r="P17" i="26" l="1"/>
  <c r="Q17" i="26" s="1"/>
  <c r="P18" i="26"/>
  <c r="Q18" i="26" s="1"/>
  <c r="M20" i="9"/>
  <c r="O20" i="9" s="1"/>
  <c r="P20" i="9" l="1"/>
  <c r="Q20" i="9" s="1"/>
  <c r="M47" i="11"/>
  <c r="O47" i="11"/>
  <c r="M46" i="11"/>
  <c r="O46" i="11"/>
  <c r="P46" i="11"/>
  <c r="Q46" i="11"/>
  <c r="P47" i="11" l="1"/>
  <c r="Q47" i="11" s="1"/>
  <c r="M16" i="23"/>
  <c r="O16" i="23" s="1"/>
  <c r="P16" i="23" l="1"/>
  <c r="Q16" i="23" s="1"/>
  <c r="M14" i="28" l="1"/>
  <c r="O14" i="28" s="1"/>
  <c r="M16" i="28"/>
  <c r="O16" i="28" s="1"/>
  <c r="M17" i="28"/>
  <c r="O17" i="28" s="1"/>
  <c r="M18" i="28"/>
  <c r="O18" i="28" s="1"/>
  <c r="M19" i="28"/>
  <c r="O19" i="28"/>
  <c r="P19" i="28"/>
  <c r="M20" i="28"/>
  <c r="O20" i="28"/>
  <c r="P20" i="28"/>
  <c r="M21" i="28"/>
  <c r="O21" i="28" s="1"/>
  <c r="M22" i="28"/>
  <c r="O22" i="28"/>
  <c r="P22" i="28"/>
  <c r="M23" i="28"/>
  <c r="O23" i="28"/>
  <c r="P23" i="28" s="1"/>
  <c r="M24" i="28"/>
  <c r="O24" i="28" s="1"/>
  <c r="M25" i="28"/>
  <c r="O25" i="28"/>
  <c r="P25" i="28"/>
  <c r="M26" i="28"/>
  <c r="O26" i="28"/>
  <c r="P26" i="28"/>
  <c r="M27" i="28"/>
  <c r="O27" i="28"/>
  <c r="P27" i="28"/>
  <c r="P18" i="28" l="1"/>
  <c r="Q18" i="28" s="1"/>
  <c r="P21" i="28"/>
  <c r="Q21" i="28" s="1"/>
  <c r="P17" i="28"/>
  <c r="Q17" i="28" s="1"/>
  <c r="P24" i="28"/>
  <c r="Q24" i="28" s="1"/>
  <c r="Q26" i="28"/>
  <c r="Q23" i="28"/>
  <c r="Q20" i="28"/>
  <c r="Q25" i="28"/>
  <c r="Q22" i="28"/>
  <c r="Q27" i="28"/>
  <c r="Q19" i="28"/>
  <c r="P14" i="28"/>
  <c r="Q14" i="28" s="1"/>
  <c r="P16" i="28"/>
  <c r="Q16" i="28" s="1"/>
  <c r="M60" i="1" l="1"/>
  <c r="O60" i="1" s="1"/>
  <c r="P60" i="1" s="1"/>
  <c r="Q60" i="1" l="1"/>
  <c r="M31" i="2"/>
  <c r="O31" i="2" s="1"/>
  <c r="P31" i="2" s="1"/>
  <c r="M41" i="1"/>
  <c r="O41" i="1" s="1"/>
  <c r="Q31" i="2" l="1"/>
  <c r="P41" i="1"/>
  <c r="Q41" i="1" s="1"/>
  <c r="M16" i="4"/>
  <c r="O16" i="4" s="1"/>
  <c r="M21" i="5"/>
  <c r="O21" i="5" s="1"/>
  <c r="M22" i="5"/>
  <c r="O22" i="5" s="1"/>
  <c r="M23" i="5"/>
  <c r="O23" i="5" s="1"/>
  <c r="P16" i="4" l="1"/>
  <c r="Q16" i="4" s="1"/>
  <c r="P23" i="5"/>
  <c r="Q23" i="5" s="1"/>
  <c r="P22" i="5"/>
  <c r="Q22" i="5" s="1"/>
  <c r="P21" i="5"/>
  <c r="Q21" i="5" s="1"/>
  <c r="L15" i="15"/>
  <c r="N15" i="15" s="1"/>
  <c r="O15" i="15" s="1"/>
  <c r="P15" i="15" s="1"/>
  <c r="L14" i="15"/>
  <c r="N14" i="15" s="1"/>
  <c r="O14" i="15" s="1"/>
  <c r="P14" i="15" s="1"/>
  <c r="M14" i="25"/>
  <c r="O14" i="25" s="1"/>
  <c r="M15" i="25"/>
  <c r="O15" i="25" s="1"/>
  <c r="P15" i="25" s="1"/>
  <c r="Q15" i="25" s="1"/>
  <c r="M16" i="25"/>
  <c r="O16" i="25" s="1"/>
  <c r="P16" i="25" s="1"/>
  <c r="Q16" i="25" s="1"/>
  <c r="M17" i="25"/>
  <c r="O17" i="25" s="1"/>
  <c r="P17" i="25" s="1"/>
  <c r="Q17" i="25" s="1"/>
  <c r="M18" i="25"/>
  <c r="O18" i="25" s="1"/>
  <c r="M19" i="25"/>
  <c r="O19" i="25" s="1"/>
  <c r="M20" i="25"/>
  <c r="O20" i="25" s="1"/>
  <c r="M21" i="25"/>
  <c r="O21" i="25" s="1"/>
  <c r="M22" i="25"/>
  <c r="O22" i="25" s="1"/>
  <c r="M23" i="25"/>
  <c r="O23" i="25" s="1"/>
  <c r="M24" i="25"/>
  <c r="O24" i="25" s="1"/>
  <c r="M20" i="30"/>
  <c r="O20" i="30" s="1"/>
  <c r="M19" i="30"/>
  <c r="O19" i="30" s="1"/>
  <c r="M18" i="30"/>
  <c r="O18" i="30" s="1"/>
  <c r="M17" i="30"/>
  <c r="O17" i="30" s="1"/>
  <c r="M16" i="30"/>
  <c r="O16" i="30" s="1"/>
  <c r="M15" i="30"/>
  <c r="O15" i="30" s="1"/>
  <c r="M14" i="30"/>
  <c r="O14" i="30" s="1"/>
  <c r="L15" i="29"/>
  <c r="N15" i="29" s="1"/>
  <c r="L14" i="29"/>
  <c r="N14" i="29" s="1"/>
  <c r="M15" i="28"/>
  <c r="O15" i="28" s="1"/>
  <c r="M20" i="27"/>
  <c r="O20" i="27" s="1"/>
  <c r="M19" i="27"/>
  <c r="O19" i="27" s="1"/>
  <c r="M18" i="27"/>
  <c r="O18" i="27" s="1"/>
  <c r="M17" i="27"/>
  <c r="O17" i="27" s="1"/>
  <c r="M16" i="27"/>
  <c r="O16" i="27" s="1"/>
  <c r="M15" i="27"/>
  <c r="O15" i="27" s="1"/>
  <c r="M14" i="27"/>
  <c r="O14" i="27" s="1"/>
  <c r="M19" i="26"/>
  <c r="O19" i="26" s="1"/>
  <c r="M16" i="26"/>
  <c r="O16" i="26" s="1"/>
  <c r="M15" i="26"/>
  <c r="O15" i="26" s="1"/>
  <c r="M14" i="26"/>
  <c r="O14" i="26" s="1"/>
  <c r="L15" i="24"/>
  <c r="N15" i="24" s="1"/>
  <c r="L14" i="24"/>
  <c r="N14" i="24" s="1"/>
  <c r="M23" i="23"/>
  <c r="O23" i="23" s="1"/>
  <c r="M22" i="23"/>
  <c r="O22" i="23" s="1"/>
  <c r="M21" i="23"/>
  <c r="O21" i="23" s="1"/>
  <c r="M20" i="23"/>
  <c r="O20" i="23" s="1"/>
  <c r="M19" i="23"/>
  <c r="O19" i="23" s="1"/>
  <c r="M18" i="23"/>
  <c r="O18" i="23" s="1"/>
  <c r="M17" i="23"/>
  <c r="O17" i="23" s="1"/>
  <c r="M15" i="23"/>
  <c r="O15" i="23" s="1"/>
  <c r="M14" i="23"/>
  <c r="O14" i="23" s="1"/>
  <c r="M30" i="22"/>
  <c r="O30" i="22" s="1"/>
  <c r="M29" i="22"/>
  <c r="O29" i="22" s="1"/>
  <c r="M28" i="22"/>
  <c r="O28" i="22" s="1"/>
  <c r="M27" i="22"/>
  <c r="O27" i="22" s="1"/>
  <c r="M26" i="22"/>
  <c r="O26" i="22" s="1"/>
  <c r="M25" i="22"/>
  <c r="O25" i="22" s="1"/>
  <c r="M24" i="22"/>
  <c r="O24" i="22" s="1"/>
  <c r="M23" i="22"/>
  <c r="O23" i="22" s="1"/>
  <c r="M22" i="22"/>
  <c r="O22" i="22" s="1"/>
  <c r="M21" i="22"/>
  <c r="O21" i="22" s="1"/>
  <c r="M20" i="22"/>
  <c r="O20" i="22" s="1"/>
  <c r="M19" i="22"/>
  <c r="O19" i="22" s="1"/>
  <c r="M18" i="22"/>
  <c r="O18" i="22" s="1"/>
  <c r="M17" i="22"/>
  <c r="O17" i="22" s="1"/>
  <c r="M16" i="22"/>
  <c r="O16" i="22" s="1"/>
  <c r="M15" i="22"/>
  <c r="O15" i="22" s="1"/>
  <c r="M14" i="22"/>
  <c r="O14" i="22" s="1"/>
  <c r="L15" i="21"/>
  <c r="N15" i="21" s="1"/>
  <c r="L14" i="21"/>
  <c r="N14" i="21" s="1"/>
  <c r="L14" i="20"/>
  <c r="N14" i="20" s="1"/>
  <c r="M29" i="19"/>
  <c r="O29" i="19" s="1"/>
  <c r="M28" i="19"/>
  <c r="O28" i="19" s="1"/>
  <c r="M27" i="19"/>
  <c r="O27" i="19" s="1"/>
  <c r="M26" i="19"/>
  <c r="O26" i="19" s="1"/>
  <c r="M25" i="19"/>
  <c r="O25" i="19" s="1"/>
  <c r="M24" i="19"/>
  <c r="O24" i="19" s="1"/>
  <c r="M23" i="19"/>
  <c r="O23" i="19" s="1"/>
  <c r="M22" i="19"/>
  <c r="O22" i="19" s="1"/>
  <c r="M21" i="19"/>
  <c r="O21" i="19" s="1"/>
  <c r="M20" i="19"/>
  <c r="O20" i="19" s="1"/>
  <c r="M19" i="19"/>
  <c r="O19" i="19" s="1"/>
  <c r="M18" i="19"/>
  <c r="O18" i="19" s="1"/>
  <c r="M17" i="19"/>
  <c r="O17" i="19" s="1"/>
  <c r="M16" i="19"/>
  <c r="O16" i="19" s="1"/>
  <c r="M15" i="19"/>
  <c r="O15" i="19" s="1"/>
  <c r="M14" i="19"/>
  <c r="O14" i="19" s="1"/>
  <c r="L15" i="18"/>
  <c r="N15" i="18" s="1"/>
  <c r="L14" i="18"/>
  <c r="N14" i="18" s="1"/>
  <c r="L15" i="17"/>
  <c r="N15" i="17" s="1"/>
  <c r="L14" i="17"/>
  <c r="N14" i="17" s="1"/>
  <c r="L16" i="16"/>
  <c r="N16" i="16" s="1"/>
  <c r="L15" i="16"/>
  <c r="N15" i="16" s="1"/>
  <c r="L14" i="16"/>
  <c r="N14" i="16" s="1"/>
  <c r="M24" i="14"/>
  <c r="O24" i="14" s="1"/>
  <c r="M23" i="14"/>
  <c r="O23" i="14" s="1"/>
  <c r="M22" i="14"/>
  <c r="O22" i="14" s="1"/>
  <c r="M21" i="14"/>
  <c r="O21" i="14" s="1"/>
  <c r="M20" i="14"/>
  <c r="O20" i="14" s="1"/>
  <c r="M19" i="14"/>
  <c r="O19" i="14" s="1"/>
  <c r="M18" i="14"/>
  <c r="O18" i="14" s="1"/>
  <c r="M17" i="14"/>
  <c r="O17" i="14" s="1"/>
  <c r="M16" i="14"/>
  <c r="O16" i="14" s="1"/>
  <c r="M15" i="14"/>
  <c r="O15" i="14" s="1"/>
  <c r="M14" i="14"/>
  <c r="O14" i="14" s="1"/>
  <c r="L15" i="13"/>
  <c r="N15" i="13" s="1"/>
  <c r="L14" i="13"/>
  <c r="N14" i="13" s="1"/>
  <c r="M27" i="12"/>
  <c r="O27" i="12" s="1"/>
  <c r="P27" i="12" s="1"/>
  <c r="Q27" i="12" s="1"/>
  <c r="M26" i="12"/>
  <c r="O26" i="12" s="1"/>
  <c r="P26" i="12" s="1"/>
  <c r="Q26" i="12" s="1"/>
  <c r="M25" i="12"/>
  <c r="O25" i="12" s="1"/>
  <c r="P25" i="12" s="1"/>
  <c r="Q25" i="12" s="1"/>
  <c r="M24" i="12"/>
  <c r="O24" i="12" s="1"/>
  <c r="P24" i="12" s="1"/>
  <c r="Q24" i="12" s="1"/>
  <c r="M23" i="12"/>
  <c r="O23" i="12" s="1"/>
  <c r="P23" i="12" s="1"/>
  <c r="Q23" i="12" s="1"/>
  <c r="M22" i="12"/>
  <c r="O22" i="12" s="1"/>
  <c r="P22" i="12" s="1"/>
  <c r="Q22" i="12" s="1"/>
  <c r="M21" i="12"/>
  <c r="O21" i="12" s="1"/>
  <c r="P21" i="12" s="1"/>
  <c r="Q21" i="12" s="1"/>
  <c r="M20" i="12"/>
  <c r="O20" i="12" s="1"/>
  <c r="P20" i="12" s="1"/>
  <c r="Q20" i="12" s="1"/>
  <c r="M19" i="12"/>
  <c r="O19" i="12" s="1"/>
  <c r="P19" i="12" s="1"/>
  <c r="Q19" i="12" s="1"/>
  <c r="M18" i="12"/>
  <c r="O18" i="12" s="1"/>
  <c r="P18" i="12" s="1"/>
  <c r="Q18" i="12" s="1"/>
  <c r="M17" i="12"/>
  <c r="O17" i="12" s="1"/>
  <c r="P17" i="12" s="1"/>
  <c r="Q17" i="12" s="1"/>
  <c r="M16" i="12"/>
  <c r="O16" i="12" s="1"/>
  <c r="P16" i="12" s="1"/>
  <c r="Q16" i="12" s="1"/>
  <c r="M15" i="12"/>
  <c r="O15" i="12" s="1"/>
  <c r="P15" i="12" s="1"/>
  <c r="Q15" i="12" s="1"/>
  <c r="M14" i="12"/>
  <c r="O14" i="12" s="1"/>
  <c r="M45" i="11"/>
  <c r="O45" i="11" s="1"/>
  <c r="M44" i="11"/>
  <c r="O44" i="11" s="1"/>
  <c r="M43" i="11"/>
  <c r="O43" i="11" s="1"/>
  <c r="M42" i="11"/>
  <c r="O42" i="11" s="1"/>
  <c r="M41" i="11"/>
  <c r="O41" i="11" s="1"/>
  <c r="M40" i="11"/>
  <c r="O40" i="11" s="1"/>
  <c r="M39" i="11"/>
  <c r="O39" i="11" s="1"/>
  <c r="M38" i="11"/>
  <c r="O38" i="11" s="1"/>
  <c r="M37" i="11"/>
  <c r="O37" i="11" s="1"/>
  <c r="M36" i="11"/>
  <c r="O36" i="11" s="1"/>
  <c r="M35" i="11"/>
  <c r="O35" i="11" s="1"/>
  <c r="M34" i="11"/>
  <c r="O34" i="11" s="1"/>
  <c r="M33" i="11"/>
  <c r="O33" i="11" s="1"/>
  <c r="M32" i="11"/>
  <c r="O32" i="11" s="1"/>
  <c r="M31" i="11"/>
  <c r="O31" i="11" s="1"/>
  <c r="M30" i="11"/>
  <c r="O30" i="11" s="1"/>
  <c r="M29" i="11"/>
  <c r="O29" i="11" s="1"/>
  <c r="M28" i="11"/>
  <c r="O28" i="11" s="1"/>
  <c r="M27" i="11"/>
  <c r="O27" i="11" s="1"/>
  <c r="M26" i="11"/>
  <c r="O26" i="11" s="1"/>
  <c r="M25" i="11"/>
  <c r="O25" i="11" s="1"/>
  <c r="M24" i="11"/>
  <c r="O24" i="11" s="1"/>
  <c r="M23" i="11"/>
  <c r="O23" i="11" s="1"/>
  <c r="M22" i="11"/>
  <c r="O22" i="11" s="1"/>
  <c r="M21" i="11"/>
  <c r="O21" i="11" s="1"/>
  <c r="M20" i="11"/>
  <c r="O20" i="11" s="1"/>
  <c r="M19" i="11"/>
  <c r="O19" i="11" s="1"/>
  <c r="M18" i="11"/>
  <c r="O18" i="11" s="1"/>
  <c r="M17" i="11"/>
  <c r="O17" i="11" s="1"/>
  <c r="M16" i="11"/>
  <c r="O16" i="11" s="1"/>
  <c r="M15" i="11"/>
  <c r="O15" i="11" s="1"/>
  <c r="M14" i="11"/>
  <c r="O14" i="11" s="1"/>
  <c r="M17" i="10"/>
  <c r="O17" i="10" s="1"/>
  <c r="M16" i="10"/>
  <c r="O16" i="10" s="1"/>
  <c r="M15" i="10"/>
  <c r="O15" i="10" s="1"/>
  <c r="M14" i="10"/>
  <c r="O14" i="10" s="1"/>
  <c r="M22" i="9"/>
  <c r="O22" i="9" s="1"/>
  <c r="M21" i="9"/>
  <c r="O21" i="9" s="1"/>
  <c r="M19" i="9"/>
  <c r="O19" i="9" s="1"/>
  <c r="M18" i="9"/>
  <c r="O18" i="9" s="1"/>
  <c r="M17" i="9"/>
  <c r="O17" i="9" s="1"/>
  <c r="M16" i="9"/>
  <c r="O16" i="9" s="1"/>
  <c r="M15" i="9"/>
  <c r="O15" i="9" s="1"/>
  <c r="M14" i="9"/>
  <c r="O14" i="9" s="1"/>
  <c r="M42" i="8"/>
  <c r="O42" i="8" s="1"/>
  <c r="M41" i="8"/>
  <c r="O41" i="8" s="1"/>
  <c r="M40" i="8"/>
  <c r="O40" i="8" s="1"/>
  <c r="M39" i="8"/>
  <c r="O39" i="8" s="1"/>
  <c r="M38" i="8"/>
  <c r="O38" i="8" s="1"/>
  <c r="M37" i="8"/>
  <c r="O37" i="8" s="1"/>
  <c r="M36" i="8"/>
  <c r="O36" i="8" s="1"/>
  <c r="M35" i="8"/>
  <c r="O35" i="8" s="1"/>
  <c r="M34" i="8"/>
  <c r="O34" i="8" s="1"/>
  <c r="M33" i="8"/>
  <c r="O33" i="8" s="1"/>
  <c r="M32" i="8"/>
  <c r="O32" i="8" s="1"/>
  <c r="M31" i="8"/>
  <c r="O31" i="8" s="1"/>
  <c r="M30" i="8"/>
  <c r="O30" i="8" s="1"/>
  <c r="M29" i="8"/>
  <c r="O29" i="8" s="1"/>
  <c r="M28" i="8"/>
  <c r="O28" i="8" s="1"/>
  <c r="M27" i="8"/>
  <c r="O27" i="8" s="1"/>
  <c r="M26" i="8"/>
  <c r="O26" i="8" s="1"/>
  <c r="M25" i="8"/>
  <c r="O25" i="8" s="1"/>
  <c r="M24" i="8"/>
  <c r="O24" i="8" s="1"/>
  <c r="M23" i="8"/>
  <c r="O23" i="8" s="1"/>
  <c r="M22" i="8"/>
  <c r="O22" i="8" s="1"/>
  <c r="M21" i="8"/>
  <c r="O21" i="8" s="1"/>
  <c r="M20" i="8"/>
  <c r="O20" i="8" s="1"/>
  <c r="M19" i="8"/>
  <c r="O19" i="8" s="1"/>
  <c r="M18" i="8"/>
  <c r="O18" i="8" s="1"/>
  <c r="M17" i="8"/>
  <c r="O17" i="8" s="1"/>
  <c r="M16" i="8"/>
  <c r="O16" i="8" s="1"/>
  <c r="M15" i="8"/>
  <c r="O15" i="8" s="1"/>
  <c r="M14" i="8"/>
  <c r="O14" i="8" s="1"/>
  <c r="M17" i="7"/>
  <c r="O17" i="7" s="1"/>
  <c r="M16" i="7"/>
  <c r="O16" i="7" s="1"/>
  <c r="M15" i="7"/>
  <c r="O15" i="7" s="1"/>
  <c r="M14" i="7"/>
  <c r="O14" i="7" s="1"/>
  <c r="M18" i="6"/>
  <c r="O18" i="6" s="1"/>
  <c r="P18" i="6" s="1"/>
  <c r="Q18" i="6" s="1"/>
  <c r="M17" i="6"/>
  <c r="O17" i="6" s="1"/>
  <c r="P17" i="6" s="1"/>
  <c r="Q17" i="6" s="1"/>
  <c r="M16" i="6"/>
  <c r="O16" i="6" s="1"/>
  <c r="P16" i="6" s="1"/>
  <c r="Q16" i="6" s="1"/>
  <c r="M15" i="6"/>
  <c r="O15" i="6" s="1"/>
  <c r="P15" i="6" s="1"/>
  <c r="Q15" i="6" s="1"/>
  <c r="M14" i="6"/>
  <c r="O14" i="6" s="1"/>
  <c r="M20" i="5"/>
  <c r="O20" i="5" s="1"/>
  <c r="M19" i="5"/>
  <c r="O19" i="5" s="1"/>
  <c r="M18" i="5"/>
  <c r="O18" i="5" s="1"/>
  <c r="M17" i="5"/>
  <c r="O17" i="5" s="1"/>
  <c r="M16" i="5"/>
  <c r="O16" i="5" s="1"/>
  <c r="M15" i="5"/>
  <c r="O15" i="5" s="1"/>
  <c r="M14" i="5"/>
  <c r="O14" i="5" s="1"/>
  <c r="M24" i="4"/>
  <c r="O24" i="4" s="1"/>
  <c r="M23" i="4"/>
  <c r="O23" i="4" s="1"/>
  <c r="M22" i="4"/>
  <c r="O22" i="4" s="1"/>
  <c r="M21" i="4"/>
  <c r="O21" i="4" s="1"/>
  <c r="M20" i="4"/>
  <c r="O20" i="4" s="1"/>
  <c r="M19" i="4"/>
  <c r="O19" i="4" s="1"/>
  <c r="M18" i="4"/>
  <c r="O18" i="4" s="1"/>
  <c r="M17" i="4"/>
  <c r="O17" i="4" s="1"/>
  <c r="M15" i="4"/>
  <c r="O15" i="4" s="1"/>
  <c r="M14" i="4"/>
  <c r="O14" i="4" s="1"/>
  <c r="M52" i="3"/>
  <c r="O52" i="3" s="1"/>
  <c r="M51" i="3"/>
  <c r="O51" i="3" s="1"/>
  <c r="M50" i="3"/>
  <c r="O50" i="3" s="1"/>
  <c r="M49" i="3"/>
  <c r="O49" i="3" s="1"/>
  <c r="M48" i="3"/>
  <c r="O48" i="3" s="1"/>
  <c r="M47" i="3"/>
  <c r="O47" i="3" s="1"/>
  <c r="M46" i="3"/>
  <c r="O46" i="3" s="1"/>
  <c r="M45" i="3"/>
  <c r="O45" i="3" s="1"/>
  <c r="M44" i="3"/>
  <c r="O44" i="3" s="1"/>
  <c r="M43" i="3"/>
  <c r="O43" i="3" s="1"/>
  <c r="M42" i="3"/>
  <c r="O42" i="3" s="1"/>
  <c r="M41" i="3"/>
  <c r="O41" i="3" s="1"/>
  <c r="M40" i="3"/>
  <c r="O40" i="3" s="1"/>
  <c r="M39" i="3"/>
  <c r="O39" i="3" s="1"/>
  <c r="M38" i="3"/>
  <c r="O38" i="3" s="1"/>
  <c r="M37" i="3"/>
  <c r="O37" i="3" s="1"/>
  <c r="M36" i="3"/>
  <c r="O36" i="3" s="1"/>
  <c r="M35" i="3"/>
  <c r="O35" i="3" s="1"/>
  <c r="M34" i="3"/>
  <c r="O34" i="3" s="1"/>
  <c r="M33" i="3"/>
  <c r="O33" i="3" s="1"/>
  <c r="M32" i="3"/>
  <c r="O32" i="3" s="1"/>
  <c r="M31" i="3"/>
  <c r="O31" i="3" s="1"/>
  <c r="M30" i="3"/>
  <c r="O30" i="3" s="1"/>
  <c r="M29" i="3"/>
  <c r="O29" i="3" s="1"/>
  <c r="M28" i="3"/>
  <c r="O28" i="3" s="1"/>
  <c r="M27" i="3"/>
  <c r="O27" i="3" s="1"/>
  <c r="M26" i="3"/>
  <c r="O26" i="3" s="1"/>
  <c r="M25" i="3"/>
  <c r="O25" i="3" s="1"/>
  <c r="M24" i="3"/>
  <c r="O24" i="3" s="1"/>
  <c r="M23" i="3"/>
  <c r="O23" i="3" s="1"/>
  <c r="M22" i="3"/>
  <c r="O22" i="3" s="1"/>
  <c r="M21" i="3"/>
  <c r="O21" i="3" s="1"/>
  <c r="M20" i="3"/>
  <c r="O20" i="3" s="1"/>
  <c r="M19" i="3"/>
  <c r="O19" i="3" s="1"/>
  <c r="M18" i="3"/>
  <c r="O18" i="3" s="1"/>
  <c r="M17" i="3"/>
  <c r="O17" i="3" s="1"/>
  <c r="M16" i="3"/>
  <c r="O16" i="3" s="1"/>
  <c r="M15" i="3"/>
  <c r="O15" i="3" s="1"/>
  <c r="M14" i="3"/>
  <c r="O14" i="3" s="1"/>
  <c r="M39" i="2"/>
  <c r="O39" i="2" s="1"/>
  <c r="M38" i="2"/>
  <c r="O38" i="2" s="1"/>
  <c r="M37" i="2"/>
  <c r="O37" i="2" s="1"/>
  <c r="M36" i="2"/>
  <c r="O36" i="2" s="1"/>
  <c r="M35" i="2"/>
  <c r="O35" i="2" s="1"/>
  <c r="M34" i="2"/>
  <c r="O34" i="2" s="1"/>
  <c r="M33" i="2"/>
  <c r="O33" i="2" s="1"/>
  <c r="M32" i="2"/>
  <c r="O32" i="2" s="1"/>
  <c r="M30" i="2"/>
  <c r="O30" i="2" s="1"/>
  <c r="M29" i="2"/>
  <c r="O29" i="2" s="1"/>
  <c r="M28" i="2"/>
  <c r="O28" i="2" s="1"/>
  <c r="M27" i="2"/>
  <c r="O27" i="2" s="1"/>
  <c r="M26" i="2"/>
  <c r="O26" i="2" s="1"/>
  <c r="M25" i="2"/>
  <c r="O25" i="2" s="1"/>
  <c r="M24" i="2"/>
  <c r="O24" i="2" s="1"/>
  <c r="M23" i="2"/>
  <c r="O23" i="2" s="1"/>
  <c r="M22" i="2"/>
  <c r="O22" i="2" s="1"/>
  <c r="M21" i="2"/>
  <c r="O21" i="2" s="1"/>
  <c r="M20" i="2"/>
  <c r="O20" i="2" s="1"/>
  <c r="M19" i="2"/>
  <c r="O19" i="2" s="1"/>
  <c r="M18" i="2"/>
  <c r="O18" i="2" s="1"/>
  <c r="M17" i="2"/>
  <c r="O17" i="2" s="1"/>
  <c r="M16" i="2"/>
  <c r="O16" i="2" s="1"/>
  <c r="M15" i="2"/>
  <c r="O15" i="2" s="1"/>
  <c r="M14" i="2"/>
  <c r="O14" i="2" s="1"/>
  <c r="M75" i="1"/>
  <c r="O75" i="1" s="1"/>
  <c r="M74" i="1"/>
  <c r="O74" i="1" s="1"/>
  <c r="M73" i="1"/>
  <c r="O73" i="1" s="1"/>
  <c r="M72" i="1"/>
  <c r="O72" i="1" s="1"/>
  <c r="M71" i="1"/>
  <c r="O71" i="1" s="1"/>
  <c r="M70" i="1"/>
  <c r="O70" i="1" s="1"/>
  <c r="M69" i="1"/>
  <c r="O69" i="1" s="1"/>
  <c r="M68" i="1"/>
  <c r="O68" i="1" s="1"/>
  <c r="M67" i="1"/>
  <c r="O67" i="1" s="1"/>
  <c r="M66" i="1"/>
  <c r="O66" i="1" s="1"/>
  <c r="M65" i="1"/>
  <c r="O65" i="1" s="1"/>
  <c r="M64" i="1"/>
  <c r="O64" i="1" s="1"/>
  <c r="M63" i="1"/>
  <c r="O63" i="1" s="1"/>
  <c r="M62" i="1"/>
  <c r="O62" i="1" s="1"/>
  <c r="M61" i="1"/>
  <c r="O61" i="1" s="1"/>
  <c r="M59" i="1"/>
  <c r="O59" i="1" s="1"/>
  <c r="M58" i="1"/>
  <c r="O58" i="1" s="1"/>
  <c r="M57" i="1"/>
  <c r="O57" i="1" s="1"/>
  <c r="M56" i="1"/>
  <c r="O56" i="1" s="1"/>
  <c r="M55" i="1"/>
  <c r="O55" i="1" s="1"/>
  <c r="M54" i="1"/>
  <c r="O54" i="1" s="1"/>
  <c r="M53" i="1"/>
  <c r="O53" i="1" s="1"/>
  <c r="M52" i="1"/>
  <c r="O52" i="1" s="1"/>
  <c r="M51" i="1"/>
  <c r="O51" i="1" s="1"/>
  <c r="M50" i="1"/>
  <c r="O50" i="1" s="1"/>
  <c r="M49" i="1"/>
  <c r="O49" i="1" s="1"/>
  <c r="M48" i="1"/>
  <c r="O48" i="1" s="1"/>
  <c r="M47" i="1"/>
  <c r="O47" i="1" s="1"/>
  <c r="M46" i="1"/>
  <c r="O46" i="1" s="1"/>
  <c r="M45" i="1"/>
  <c r="O45" i="1" s="1"/>
  <c r="M44" i="1"/>
  <c r="O44" i="1" s="1"/>
  <c r="M43" i="1"/>
  <c r="O43" i="1" s="1"/>
  <c r="M42" i="1"/>
  <c r="O42" i="1" s="1"/>
  <c r="M40" i="1"/>
  <c r="O40" i="1" s="1"/>
  <c r="M39" i="1"/>
  <c r="O39" i="1" s="1"/>
  <c r="M38" i="1"/>
  <c r="O38" i="1" s="1"/>
  <c r="M37" i="1"/>
  <c r="O37" i="1" s="1"/>
  <c r="M36" i="1"/>
  <c r="O36" i="1" s="1"/>
  <c r="M35" i="1"/>
  <c r="O35" i="1" s="1"/>
  <c r="M34" i="1"/>
  <c r="O34" i="1" s="1"/>
  <c r="M33" i="1"/>
  <c r="O33" i="1" s="1"/>
  <c r="M32" i="1"/>
  <c r="O32" i="1" s="1"/>
  <c r="M31" i="1"/>
  <c r="O31" i="1" s="1"/>
  <c r="M30" i="1"/>
  <c r="O30" i="1" s="1"/>
  <c r="M29" i="1"/>
  <c r="O29" i="1" s="1"/>
  <c r="M28" i="1"/>
  <c r="O28" i="1" s="1"/>
  <c r="M27" i="1"/>
  <c r="O27" i="1" s="1"/>
  <c r="M26" i="1"/>
  <c r="O26" i="1" s="1"/>
  <c r="M25" i="1"/>
  <c r="O25" i="1" s="1"/>
  <c r="M24" i="1"/>
  <c r="O24" i="1" s="1"/>
  <c r="M22" i="1"/>
  <c r="O22" i="1" s="1"/>
  <c r="M21" i="1"/>
  <c r="O21" i="1" s="1"/>
  <c r="M20" i="1"/>
  <c r="O20" i="1" s="1"/>
  <c r="M19" i="1"/>
  <c r="O19" i="1" s="1"/>
  <c r="M18" i="1"/>
  <c r="O18" i="1" s="1"/>
  <c r="M17" i="1"/>
  <c r="O17" i="1" s="1"/>
  <c r="M16" i="1"/>
  <c r="O16" i="1" s="1"/>
  <c r="M15" i="1"/>
  <c r="O15" i="1" s="1"/>
  <c r="M14" i="1"/>
  <c r="O14" i="1" s="1"/>
  <c r="P19" i="25" l="1"/>
  <c r="Q19" i="25" s="1"/>
  <c r="P18" i="25"/>
  <c r="Q18" i="25" s="1"/>
  <c r="P22" i="25"/>
  <c r="Q22" i="25" s="1"/>
  <c r="P24" i="25"/>
  <c r="Q24" i="25" s="1"/>
  <c r="P20" i="25"/>
  <c r="Q20" i="25" s="1"/>
  <c r="P23" i="25"/>
  <c r="Q23" i="25" s="1"/>
  <c r="P21" i="25"/>
  <c r="Q21" i="25" s="1"/>
  <c r="P14" i="25"/>
  <c r="Q14" i="25" s="1"/>
  <c r="P17" i="30"/>
  <c r="Q17" i="30" s="1"/>
  <c r="P14" i="30"/>
  <c r="Q14" i="30" s="1"/>
  <c r="P15" i="30"/>
  <c r="Q15" i="30" s="1"/>
  <c r="P19" i="30"/>
  <c r="Q19" i="30" s="1"/>
  <c r="P18" i="30"/>
  <c r="Q18" i="30" s="1"/>
  <c r="P16" i="30"/>
  <c r="Q16" i="30" s="1"/>
  <c r="P20" i="30"/>
  <c r="Q20" i="30" s="1"/>
  <c r="O14" i="29"/>
  <c r="P14" i="29" s="1"/>
  <c r="O15" i="29"/>
  <c r="P15" i="29" s="1"/>
  <c r="P15" i="28"/>
  <c r="Q15" i="28" s="1"/>
  <c r="P17" i="27"/>
  <c r="Q17" i="27" s="1"/>
  <c r="P14" i="27"/>
  <c r="Q14" i="27" s="1"/>
  <c r="P18" i="27"/>
  <c r="Q18" i="27" s="1"/>
  <c r="P15" i="27"/>
  <c r="Q15" i="27" s="1"/>
  <c r="P19" i="27"/>
  <c r="Q19" i="27" s="1"/>
  <c r="P16" i="27"/>
  <c r="Q16" i="27" s="1"/>
  <c r="P20" i="27"/>
  <c r="Q20" i="27" s="1"/>
  <c r="P15" i="26"/>
  <c r="Q15" i="26" s="1"/>
  <c r="P16" i="26"/>
  <c r="Q16" i="26" s="1"/>
  <c r="P14" i="26"/>
  <c r="Q14" i="26" s="1"/>
  <c r="P19" i="26"/>
  <c r="Q19" i="26" s="1"/>
  <c r="O14" i="24"/>
  <c r="P14" i="24" s="1"/>
  <c r="O15" i="24"/>
  <c r="P15" i="24" s="1"/>
  <c r="P17" i="23"/>
  <c r="Q17" i="23" s="1"/>
  <c r="P22" i="23"/>
  <c r="Q22" i="23" s="1"/>
  <c r="P14" i="23"/>
  <c r="Q14" i="23" s="1"/>
  <c r="P19" i="23"/>
  <c r="Q19" i="23" s="1"/>
  <c r="P23" i="23"/>
  <c r="Q23" i="23" s="1"/>
  <c r="P21" i="23"/>
  <c r="Q21" i="23" s="1"/>
  <c r="P18" i="23"/>
  <c r="Q18" i="23" s="1"/>
  <c r="P15" i="23"/>
  <c r="Q15" i="23" s="1"/>
  <c r="P20" i="23"/>
  <c r="Q20" i="23" s="1"/>
  <c r="P27" i="22"/>
  <c r="Q27" i="22" s="1"/>
  <c r="P16" i="22"/>
  <c r="Q16" i="22" s="1"/>
  <c r="P20" i="22"/>
  <c r="Q20" i="22" s="1"/>
  <c r="P24" i="22"/>
  <c r="Q24" i="22" s="1"/>
  <c r="P28" i="22"/>
  <c r="Q28" i="22" s="1"/>
  <c r="P15" i="22"/>
  <c r="Q15" i="22" s="1"/>
  <c r="P23" i="22"/>
  <c r="Q23" i="22" s="1"/>
  <c r="P17" i="22"/>
  <c r="Q17" i="22" s="1"/>
  <c r="P21" i="22"/>
  <c r="Q21" i="22" s="1"/>
  <c r="P25" i="22"/>
  <c r="Q25" i="22" s="1"/>
  <c r="P29" i="22"/>
  <c r="Q29" i="22" s="1"/>
  <c r="P19" i="22"/>
  <c r="Q19" i="22" s="1"/>
  <c r="P14" i="22"/>
  <c r="Q14" i="22" s="1"/>
  <c r="P18" i="22"/>
  <c r="Q18" i="22" s="1"/>
  <c r="P22" i="22"/>
  <c r="Q22" i="22" s="1"/>
  <c r="P26" i="22"/>
  <c r="Q26" i="22" s="1"/>
  <c r="P30" i="22"/>
  <c r="Q30" i="22" s="1"/>
  <c r="O14" i="21"/>
  <c r="P14" i="21" s="1"/>
  <c r="O15" i="21"/>
  <c r="P15" i="21" s="1"/>
  <c r="O14" i="20"/>
  <c r="P14" i="20" s="1"/>
  <c r="P14" i="19"/>
  <c r="Q14" i="19" s="1"/>
  <c r="P26" i="19"/>
  <c r="Q26" i="19" s="1"/>
  <c r="P15" i="19"/>
  <c r="Q15" i="19" s="1"/>
  <c r="P27" i="19"/>
  <c r="Q27" i="19" s="1"/>
  <c r="P16" i="19"/>
  <c r="Q16" i="19" s="1"/>
  <c r="P20" i="19"/>
  <c r="Q20" i="19" s="1"/>
  <c r="P24" i="19"/>
  <c r="Q24" i="19" s="1"/>
  <c r="P28" i="19"/>
  <c r="Q28" i="19" s="1"/>
  <c r="P18" i="19"/>
  <c r="Q18" i="19" s="1"/>
  <c r="P22" i="19"/>
  <c r="Q22" i="19" s="1"/>
  <c r="P19" i="19"/>
  <c r="Q19" i="19" s="1"/>
  <c r="P23" i="19"/>
  <c r="Q23" i="19" s="1"/>
  <c r="P17" i="19"/>
  <c r="Q17" i="19" s="1"/>
  <c r="P21" i="19"/>
  <c r="Q21" i="19" s="1"/>
  <c r="P25" i="19"/>
  <c r="Q25" i="19" s="1"/>
  <c r="P29" i="19"/>
  <c r="Q29" i="19" s="1"/>
  <c r="O14" i="18"/>
  <c r="P14" i="18" s="1"/>
  <c r="O15" i="18"/>
  <c r="P15" i="18" s="1"/>
  <c r="O14" i="17"/>
  <c r="P14" i="17" s="1"/>
  <c r="O15" i="17"/>
  <c r="P15" i="17" s="1"/>
  <c r="O14" i="16"/>
  <c r="P14" i="16" s="1"/>
  <c r="O15" i="16"/>
  <c r="P15" i="16" s="1"/>
  <c r="O16" i="16"/>
  <c r="P16" i="16" s="1"/>
  <c r="P21" i="14"/>
  <c r="Q21" i="14" s="1"/>
  <c r="P14" i="14"/>
  <c r="Q14" i="14" s="1"/>
  <c r="P22" i="14"/>
  <c r="Q22" i="14" s="1"/>
  <c r="P15" i="14"/>
  <c r="Q15" i="14" s="1"/>
  <c r="P19" i="14"/>
  <c r="Q19" i="14" s="1"/>
  <c r="P23" i="14"/>
  <c r="Q23" i="14" s="1"/>
  <c r="P17" i="14"/>
  <c r="Q17" i="14" s="1"/>
  <c r="P18" i="14"/>
  <c r="Q18" i="14" s="1"/>
  <c r="P16" i="14"/>
  <c r="Q16" i="14" s="1"/>
  <c r="P20" i="14"/>
  <c r="Q20" i="14" s="1"/>
  <c r="P24" i="14"/>
  <c r="Q24" i="14" s="1"/>
  <c r="O14" i="13"/>
  <c r="P14" i="13" s="1"/>
  <c r="O15" i="13"/>
  <c r="P15" i="13" s="1"/>
  <c r="P14" i="12"/>
  <c r="Q14" i="12" s="1"/>
  <c r="P16" i="11"/>
  <c r="Q16" i="11" s="1"/>
  <c r="P20" i="11"/>
  <c r="Q20" i="11" s="1"/>
  <c r="P26" i="11"/>
  <c r="Q26" i="11" s="1"/>
  <c r="P30" i="11"/>
  <c r="Q30" i="11" s="1"/>
  <c r="P38" i="11"/>
  <c r="Q38" i="11" s="1"/>
  <c r="P21" i="11"/>
  <c r="Q21" i="11" s="1"/>
  <c r="P27" i="11"/>
  <c r="Q27" i="11" s="1"/>
  <c r="P39" i="11"/>
  <c r="Q39" i="11" s="1"/>
  <c r="P14" i="11"/>
  <c r="Q14" i="11" s="1"/>
  <c r="P18" i="11"/>
  <c r="Q18" i="11" s="1"/>
  <c r="P24" i="11"/>
  <c r="Q24" i="11" s="1"/>
  <c r="P28" i="11"/>
  <c r="Q28" i="11" s="1"/>
  <c r="P32" i="11"/>
  <c r="Q32" i="11" s="1"/>
  <c r="P36" i="11"/>
  <c r="Q36" i="11" s="1"/>
  <c r="P40" i="11"/>
  <c r="Q40" i="11" s="1"/>
  <c r="P44" i="11"/>
  <c r="Q44" i="11" s="1"/>
  <c r="P22" i="11"/>
  <c r="Q22" i="11" s="1"/>
  <c r="P34" i="11"/>
  <c r="Q34" i="11" s="1"/>
  <c r="P42" i="11"/>
  <c r="Q42" i="11" s="1"/>
  <c r="P17" i="11"/>
  <c r="Q17" i="11" s="1"/>
  <c r="P23" i="11"/>
  <c r="Q23" i="11" s="1"/>
  <c r="P31" i="11"/>
  <c r="Q31" i="11" s="1"/>
  <c r="P35" i="11"/>
  <c r="Q35" i="11" s="1"/>
  <c r="P43" i="11"/>
  <c r="Q43" i="11" s="1"/>
  <c r="P15" i="11"/>
  <c r="Q15" i="11" s="1"/>
  <c r="P19" i="11"/>
  <c r="Q19" i="11" s="1"/>
  <c r="P25" i="11"/>
  <c r="Q25" i="11" s="1"/>
  <c r="P29" i="11"/>
  <c r="Q29" i="11" s="1"/>
  <c r="P33" i="11"/>
  <c r="Q33" i="11" s="1"/>
  <c r="P37" i="11"/>
  <c r="Q37" i="11" s="1"/>
  <c r="P41" i="11"/>
  <c r="Q41" i="11" s="1"/>
  <c r="P45" i="11"/>
  <c r="Q45" i="11" s="1"/>
  <c r="P14" i="10"/>
  <c r="Q14" i="10" s="1"/>
  <c r="P15" i="10"/>
  <c r="Q15" i="10" s="1"/>
  <c r="P16" i="10"/>
  <c r="Q16" i="10" s="1"/>
  <c r="P17" i="10"/>
  <c r="Q17" i="10" s="1"/>
  <c r="P18" i="9"/>
  <c r="Q18" i="9" s="1"/>
  <c r="P15" i="9"/>
  <c r="Q15" i="9" s="1"/>
  <c r="P19" i="9"/>
  <c r="Q19" i="9" s="1"/>
  <c r="P14" i="9"/>
  <c r="Q14" i="9" s="1"/>
  <c r="P16" i="9"/>
  <c r="Q16" i="9" s="1"/>
  <c r="P21" i="9"/>
  <c r="Q21" i="9" s="1"/>
  <c r="P17" i="9"/>
  <c r="Q17" i="9" s="1"/>
  <c r="P22" i="9"/>
  <c r="Q22" i="9" s="1"/>
  <c r="P18" i="8"/>
  <c r="Q18" i="8" s="1"/>
  <c r="P26" i="8"/>
  <c r="Q26" i="8" s="1"/>
  <c r="P34" i="8"/>
  <c r="Q34" i="8" s="1"/>
  <c r="P38" i="8"/>
  <c r="Q38" i="8" s="1"/>
  <c r="P15" i="8"/>
  <c r="Q15" i="8" s="1"/>
  <c r="P23" i="8"/>
  <c r="Q23" i="8" s="1"/>
  <c r="P27" i="8"/>
  <c r="Q27" i="8" s="1"/>
  <c r="P39" i="8"/>
  <c r="Q39" i="8" s="1"/>
  <c r="P16" i="8"/>
  <c r="Q16" i="8" s="1"/>
  <c r="P20" i="8"/>
  <c r="Q20" i="8" s="1"/>
  <c r="P24" i="8"/>
  <c r="Q24" i="8" s="1"/>
  <c r="P28" i="8"/>
  <c r="Q28" i="8" s="1"/>
  <c r="P32" i="8"/>
  <c r="Q32" i="8" s="1"/>
  <c r="P36" i="8"/>
  <c r="Q36" i="8" s="1"/>
  <c r="P40" i="8"/>
  <c r="Q40" i="8" s="1"/>
  <c r="P14" i="8"/>
  <c r="Q14" i="8" s="1"/>
  <c r="P22" i="8"/>
  <c r="Q22" i="8" s="1"/>
  <c r="P30" i="8"/>
  <c r="Q30" i="8" s="1"/>
  <c r="P42" i="8"/>
  <c r="Q42" i="8" s="1"/>
  <c r="P19" i="8"/>
  <c r="Q19" i="8" s="1"/>
  <c r="P31" i="8"/>
  <c r="Q31" i="8" s="1"/>
  <c r="P35" i="8"/>
  <c r="Q35" i="8" s="1"/>
  <c r="P17" i="8"/>
  <c r="Q17" i="8" s="1"/>
  <c r="P21" i="8"/>
  <c r="Q21" i="8" s="1"/>
  <c r="P25" i="8"/>
  <c r="Q25" i="8" s="1"/>
  <c r="P29" i="8"/>
  <c r="Q29" i="8" s="1"/>
  <c r="P33" i="8"/>
  <c r="Q33" i="8"/>
  <c r="P37" i="8"/>
  <c r="Q37" i="8" s="1"/>
  <c r="P41" i="8"/>
  <c r="Q41" i="8" s="1"/>
  <c r="P15" i="7"/>
  <c r="Q15" i="7" s="1"/>
  <c r="P16" i="7"/>
  <c r="Q16" i="7" s="1"/>
  <c r="P14" i="7"/>
  <c r="Q14" i="7" s="1"/>
  <c r="P17" i="7"/>
  <c r="Q17" i="7" s="1"/>
  <c r="P14" i="6"/>
  <c r="Q14" i="6" s="1"/>
  <c r="P14" i="5"/>
  <c r="Q14" i="5" s="1"/>
  <c r="P19" i="5"/>
  <c r="Q19" i="5" s="1"/>
  <c r="P16" i="5"/>
  <c r="Q16" i="5" s="1"/>
  <c r="P20" i="5"/>
  <c r="Q20" i="5" s="1"/>
  <c r="P18" i="5"/>
  <c r="Q18" i="5" s="1"/>
  <c r="P15" i="5"/>
  <c r="Q15" i="5" s="1"/>
  <c r="P17" i="5"/>
  <c r="Q17" i="5" s="1"/>
  <c r="P17" i="4"/>
  <c r="Q17" i="4" s="1"/>
  <c r="P21" i="4"/>
  <c r="Q21" i="4" s="1"/>
  <c r="P18" i="4"/>
  <c r="Q18" i="4" s="1"/>
  <c r="P22" i="4"/>
  <c r="Q22" i="4" s="1"/>
  <c r="P14" i="4"/>
  <c r="Q14" i="4" s="1"/>
  <c r="P19" i="4"/>
  <c r="Q19" i="4" s="1"/>
  <c r="P23" i="4"/>
  <c r="Q23" i="4" s="1"/>
  <c r="P15" i="4"/>
  <c r="Q15" i="4" s="1"/>
  <c r="P20" i="4"/>
  <c r="Q20" i="4" s="1"/>
  <c r="P24" i="4"/>
  <c r="Q24" i="4" s="1"/>
  <c r="P17" i="3"/>
  <c r="Q17" i="3" s="1"/>
  <c r="P37" i="3"/>
  <c r="Q37" i="3" s="1"/>
  <c r="P18" i="3"/>
  <c r="Q18" i="3" s="1"/>
  <c r="P22" i="3"/>
  <c r="Q22" i="3" s="1"/>
  <c r="P26" i="3"/>
  <c r="Q26" i="3" s="1"/>
  <c r="P30" i="3"/>
  <c r="Q30" i="3" s="1"/>
  <c r="P34" i="3"/>
  <c r="Q34" i="3" s="1"/>
  <c r="P38" i="3"/>
  <c r="Q38" i="3" s="1"/>
  <c r="P42" i="3"/>
  <c r="Q42" i="3" s="1"/>
  <c r="P46" i="3"/>
  <c r="Q46" i="3" s="1"/>
  <c r="P50" i="3"/>
  <c r="Q50" i="3" s="1"/>
  <c r="P25" i="3"/>
  <c r="Q25" i="3" s="1"/>
  <c r="P29" i="3"/>
  <c r="Q29" i="3" s="1"/>
  <c r="P41" i="3"/>
  <c r="Q41" i="3" s="1"/>
  <c r="P45" i="3"/>
  <c r="Q45" i="3" s="1"/>
  <c r="P14" i="3"/>
  <c r="Q14" i="3" s="1"/>
  <c r="P15" i="3"/>
  <c r="Q15" i="3" s="1"/>
  <c r="P19" i="3"/>
  <c r="Q19" i="3" s="1"/>
  <c r="P23" i="3"/>
  <c r="Q23" i="3" s="1"/>
  <c r="P27" i="3"/>
  <c r="Q27" i="3" s="1"/>
  <c r="P31" i="3"/>
  <c r="Q31" i="3" s="1"/>
  <c r="P35" i="3"/>
  <c r="Q35" i="3" s="1"/>
  <c r="P39" i="3"/>
  <c r="Q39" i="3" s="1"/>
  <c r="P43" i="3"/>
  <c r="Q43" i="3" s="1"/>
  <c r="P47" i="3"/>
  <c r="Q47" i="3" s="1"/>
  <c r="P51" i="3"/>
  <c r="Q51" i="3" s="1"/>
  <c r="P21" i="3"/>
  <c r="Q21" i="3" s="1"/>
  <c r="P33" i="3"/>
  <c r="Q33" i="3" s="1"/>
  <c r="P49" i="3"/>
  <c r="Q49" i="3" s="1"/>
  <c r="P16" i="3"/>
  <c r="Q16" i="3" s="1"/>
  <c r="P20" i="3"/>
  <c r="Q20" i="3" s="1"/>
  <c r="P24" i="3"/>
  <c r="Q24" i="3" s="1"/>
  <c r="P28" i="3"/>
  <c r="Q28" i="3" s="1"/>
  <c r="P32" i="3"/>
  <c r="Q32" i="3" s="1"/>
  <c r="P36" i="3"/>
  <c r="Q36" i="3" s="1"/>
  <c r="P40" i="3"/>
  <c r="Q40" i="3" s="1"/>
  <c r="P44" i="3"/>
  <c r="Q44" i="3" s="1"/>
  <c r="P48" i="3"/>
  <c r="Q48" i="3" s="1"/>
  <c r="P52" i="3"/>
  <c r="Q52" i="3" s="1"/>
  <c r="P19" i="2"/>
  <c r="Q19" i="2" s="1"/>
  <c r="P23" i="2"/>
  <c r="Q23" i="2" s="1"/>
  <c r="P32" i="2"/>
  <c r="Q32" i="2" s="1"/>
  <c r="P20" i="2"/>
  <c r="Q20" i="2" s="1"/>
  <c r="P28" i="2"/>
  <c r="Q28" i="2" s="1"/>
  <c r="P33" i="2"/>
  <c r="Q33" i="2" s="1"/>
  <c r="P37" i="2"/>
  <c r="Q37" i="2" s="1"/>
  <c r="P17" i="2"/>
  <c r="Q17" i="2" s="1"/>
  <c r="P21" i="2"/>
  <c r="Q21" i="2" s="1"/>
  <c r="P25" i="2"/>
  <c r="Q25" i="2" s="1"/>
  <c r="P29" i="2"/>
  <c r="Q29" i="2" s="1"/>
  <c r="P34" i="2"/>
  <c r="Q34" i="2" s="1"/>
  <c r="P38" i="2"/>
  <c r="Q38" i="2" s="1"/>
  <c r="P15" i="2"/>
  <c r="Q15" i="2" s="1"/>
  <c r="P27" i="2"/>
  <c r="Q27" i="2" s="1"/>
  <c r="P36" i="2"/>
  <c r="Q36" i="2" s="1"/>
  <c r="P16" i="2"/>
  <c r="Q16" i="2" s="1"/>
  <c r="P24" i="2"/>
  <c r="Q24" i="2" s="1"/>
  <c r="P14" i="2"/>
  <c r="Q14" i="2" s="1"/>
  <c r="P18" i="2"/>
  <c r="Q18" i="2" s="1"/>
  <c r="P22" i="2"/>
  <c r="Q22" i="2" s="1"/>
  <c r="P26" i="2"/>
  <c r="Q26" i="2" s="1"/>
  <c r="P30" i="2"/>
  <c r="Q30" i="2" s="1"/>
  <c r="P35" i="2"/>
  <c r="Q35" i="2" s="1"/>
  <c r="P39" i="2"/>
  <c r="Q39" i="2" s="1"/>
  <c r="P21" i="1"/>
  <c r="Q21" i="1" s="1"/>
  <c r="P34" i="1"/>
  <c r="Q34" i="1" s="1"/>
  <c r="P47" i="1"/>
  <c r="Q47" i="1" s="1"/>
  <c r="P51" i="1"/>
  <c r="Q51" i="1" s="1"/>
  <c r="P68" i="1"/>
  <c r="Q68" i="1" s="1"/>
  <c r="P14" i="1"/>
  <c r="Q14" i="1" s="1"/>
  <c r="P18" i="1"/>
  <c r="Q18" i="1" s="1"/>
  <c r="P22" i="1"/>
  <c r="Q22" i="1" s="1"/>
  <c r="P27" i="1"/>
  <c r="Q27" i="1" s="1"/>
  <c r="P31" i="1"/>
  <c r="Q31" i="1" s="1"/>
  <c r="P35" i="1"/>
  <c r="Q35" i="1" s="1"/>
  <c r="P39" i="1"/>
  <c r="Q39" i="1" s="1"/>
  <c r="P44" i="1"/>
  <c r="Q44" i="1" s="1"/>
  <c r="P48" i="1"/>
  <c r="Q48" i="1" s="1"/>
  <c r="P52" i="1"/>
  <c r="Q52" i="1" s="1"/>
  <c r="P56" i="1"/>
  <c r="Q56" i="1" s="1"/>
  <c r="P61" i="1"/>
  <c r="Q61" i="1" s="1"/>
  <c r="P65" i="1"/>
  <c r="Q65" i="1" s="1"/>
  <c r="P69" i="1"/>
  <c r="Q69" i="1" s="1"/>
  <c r="P73" i="1"/>
  <c r="Q73" i="1" s="1"/>
  <c r="P26" i="1"/>
  <c r="Q26" i="1" s="1"/>
  <c r="P38" i="1"/>
  <c r="Q38" i="1" s="1"/>
  <c r="P55" i="1"/>
  <c r="Q55" i="1" s="1"/>
  <c r="P72" i="1"/>
  <c r="Q72" i="1" s="1"/>
  <c r="P19" i="1"/>
  <c r="Q19" i="1" s="1"/>
  <c r="P24" i="1"/>
  <c r="Q24" i="1" s="1"/>
  <c r="P28" i="1"/>
  <c r="Q28" i="1" s="1"/>
  <c r="P32" i="1"/>
  <c r="Q32" i="1" s="1"/>
  <c r="P36" i="1"/>
  <c r="Q36" i="1" s="1"/>
  <c r="P40" i="1"/>
  <c r="Q40" i="1" s="1"/>
  <c r="P45" i="1"/>
  <c r="Q45" i="1" s="1"/>
  <c r="P49" i="1"/>
  <c r="Q49" i="1" s="1"/>
  <c r="P53" i="1"/>
  <c r="Q53" i="1" s="1"/>
  <c r="P57" i="1"/>
  <c r="Q57" i="1" s="1"/>
  <c r="P62" i="1"/>
  <c r="Q62" i="1" s="1"/>
  <c r="P66" i="1"/>
  <c r="Q66" i="1" s="1"/>
  <c r="P70" i="1"/>
  <c r="Q70" i="1" s="1"/>
  <c r="P74" i="1"/>
  <c r="Q74" i="1" s="1"/>
  <c r="P17" i="1"/>
  <c r="Q17" i="1" s="1"/>
  <c r="P30" i="1"/>
  <c r="Q30" i="1" s="1"/>
  <c r="P43" i="1"/>
  <c r="Q43" i="1" s="1"/>
  <c r="P59" i="1"/>
  <c r="Q59" i="1" s="1"/>
  <c r="P64" i="1"/>
  <c r="Q64" i="1" s="1"/>
  <c r="P15" i="1"/>
  <c r="Q15" i="1" s="1"/>
  <c r="P16" i="1"/>
  <c r="Q16" i="1" s="1"/>
  <c r="P20" i="1"/>
  <c r="Q20" i="1" s="1"/>
  <c r="P25" i="1"/>
  <c r="Q25" i="1" s="1"/>
  <c r="P29" i="1"/>
  <c r="Q29" i="1" s="1"/>
  <c r="P33" i="1"/>
  <c r="Q33" i="1" s="1"/>
  <c r="P37" i="1"/>
  <c r="Q37" i="1" s="1"/>
  <c r="P42" i="1"/>
  <c r="Q42" i="1" s="1"/>
  <c r="P46" i="1"/>
  <c r="Q46" i="1" s="1"/>
  <c r="P50" i="1"/>
  <c r="Q50" i="1" s="1"/>
  <c r="P54" i="1"/>
  <c r="Q54" i="1" s="1"/>
  <c r="P58" i="1"/>
  <c r="Q58" i="1" s="1"/>
  <c r="P63" i="1"/>
  <c r="Q63" i="1" s="1"/>
  <c r="P67" i="1"/>
  <c r="Q67" i="1" s="1"/>
  <c r="P71" i="1"/>
  <c r="Q71" i="1" s="1"/>
  <c r="P75" i="1"/>
  <c r="Q75" i="1" s="1"/>
</calcChain>
</file>

<file path=xl/sharedStrings.xml><?xml version="1.0" encoding="utf-8"?>
<sst xmlns="http://schemas.openxmlformats.org/spreadsheetml/2006/main" count="2501" uniqueCount="411">
  <si>
    <t>PROPOSAL FOR RADIO ADVERTISING</t>
  </si>
  <si>
    <t>Sr. No.</t>
  </si>
  <si>
    <t>Radio Station</t>
  </si>
  <si>
    <t>State</t>
  </si>
  <si>
    <t>Rank</t>
  </si>
  <si>
    <t>Spot Duration (Seconds)</t>
  </si>
  <si>
    <t>Spot Repetition (Daily)</t>
  </si>
  <si>
    <t>Campaign Duration (Days)</t>
  </si>
  <si>
    <t>Total Seconds</t>
  </si>
  <si>
    <t>Rate per Second</t>
  </si>
  <si>
    <t>Cost</t>
  </si>
  <si>
    <t>GST @ 18%</t>
  </si>
  <si>
    <t>Total Cost</t>
  </si>
  <si>
    <t>7 AM to 11 PM</t>
  </si>
  <si>
    <t>Maharashtra</t>
  </si>
  <si>
    <t>-</t>
  </si>
  <si>
    <t>Terms &amp; Conditions:</t>
  </si>
  <si>
    <t>1. Payment Terms - as per mutual understanding</t>
  </si>
  <si>
    <t>2. This offer is valid till Limited period of time</t>
  </si>
  <si>
    <t>Time Band (RODP)</t>
  </si>
  <si>
    <t>Frequency</t>
  </si>
  <si>
    <t>City</t>
  </si>
  <si>
    <t>Ahmednagar</t>
  </si>
  <si>
    <t>Akola</t>
  </si>
  <si>
    <t>Amravati</t>
  </si>
  <si>
    <t>Aurangabad</t>
  </si>
  <si>
    <t>Dhule</t>
  </si>
  <si>
    <t xml:space="preserve">Radio City </t>
  </si>
  <si>
    <t>Jalgaon</t>
  </si>
  <si>
    <t>Kolhapur</t>
  </si>
  <si>
    <t>Mumbai</t>
  </si>
  <si>
    <t>Nagpur</t>
  </si>
  <si>
    <t>Nanded</t>
  </si>
  <si>
    <t>Nashik</t>
  </si>
  <si>
    <t>Pune</t>
  </si>
  <si>
    <t>Sangli</t>
  </si>
  <si>
    <t>Solapur</t>
  </si>
  <si>
    <t>Wardha</t>
  </si>
  <si>
    <t xml:space="preserve">Big FM </t>
  </si>
  <si>
    <t xml:space="preserve">Radio Orange </t>
  </si>
  <si>
    <t xml:space="preserve">My FM </t>
  </si>
  <si>
    <t xml:space="preserve">Radio Mirchi </t>
  </si>
  <si>
    <t xml:space="preserve">Red FM </t>
  </si>
  <si>
    <t xml:space="preserve">Radio Tadka </t>
  </si>
  <si>
    <t>Radio City</t>
  </si>
  <si>
    <t xml:space="preserve">Radio Nasha </t>
  </si>
  <si>
    <t>Big FM</t>
  </si>
  <si>
    <t>Red FM</t>
  </si>
  <si>
    <t xml:space="preserve">Radio One </t>
  </si>
  <si>
    <t xml:space="preserve">Fever FM </t>
  </si>
  <si>
    <t xml:space="preserve">Magic FM </t>
  </si>
  <si>
    <t xml:space="preserve">Mirchi Love </t>
  </si>
  <si>
    <t>Radio Tadka</t>
  </si>
  <si>
    <t>Mirchi Love</t>
  </si>
  <si>
    <t>Rajasthan</t>
  </si>
  <si>
    <t>Ajmer</t>
  </si>
  <si>
    <t>Bikaner</t>
  </si>
  <si>
    <t>Jaipur</t>
  </si>
  <si>
    <t>Jodhpur</t>
  </si>
  <si>
    <t>Kota</t>
  </si>
  <si>
    <t>Udaipur</t>
  </si>
  <si>
    <t>Uttar Pradesh</t>
  </si>
  <si>
    <t>West Bengal</t>
  </si>
  <si>
    <t>Delhi</t>
  </si>
  <si>
    <t>Haryana</t>
  </si>
  <si>
    <t>Assam</t>
  </si>
  <si>
    <t>Tamil Nadu</t>
  </si>
  <si>
    <t>Telangana</t>
  </si>
  <si>
    <t>Puducherry</t>
  </si>
  <si>
    <t>Gujarat</t>
  </si>
  <si>
    <t xml:space="preserve"> </t>
  </si>
  <si>
    <t>Kerala</t>
  </si>
  <si>
    <t>Goa</t>
  </si>
  <si>
    <t>Odisha</t>
  </si>
  <si>
    <t>Uttarakhand</t>
  </si>
  <si>
    <t>Meghalaya</t>
  </si>
  <si>
    <t>Tripura</t>
  </si>
  <si>
    <t>Sikkim</t>
  </si>
  <si>
    <t>Chandigarh</t>
  </si>
  <si>
    <t>Punjab</t>
  </si>
  <si>
    <t>Arunachal Pradesh</t>
  </si>
  <si>
    <t>Mizoram</t>
  </si>
  <si>
    <t>Karnataka</t>
  </si>
  <si>
    <t>Andhra Pradesh</t>
  </si>
  <si>
    <t>Himachal Pradesh</t>
  </si>
  <si>
    <t>Jammu &amp; Kashmir</t>
  </si>
  <si>
    <t>Jharkhand</t>
  </si>
  <si>
    <t>Chhatisgarh</t>
  </si>
  <si>
    <t>Madhya Pradesh</t>
  </si>
  <si>
    <t>Ladakh</t>
  </si>
  <si>
    <t>Bihar</t>
  </si>
  <si>
    <t>563K</t>
  </si>
  <si>
    <t>163K</t>
  </si>
  <si>
    <t>225K</t>
  </si>
  <si>
    <t>107K</t>
  </si>
  <si>
    <t>Muzaffarpur</t>
  </si>
  <si>
    <t>Patna</t>
  </si>
  <si>
    <t>Kargil</t>
  </si>
  <si>
    <t>Leh</t>
  </si>
  <si>
    <t xml:space="preserve">Top FM </t>
  </si>
  <si>
    <t>169K</t>
  </si>
  <si>
    <t>353K</t>
  </si>
  <si>
    <t>207K</t>
  </si>
  <si>
    <t>273K</t>
  </si>
  <si>
    <t>80K</t>
  </si>
  <si>
    <t>66K</t>
  </si>
  <si>
    <t>368K</t>
  </si>
  <si>
    <t>440K</t>
  </si>
  <si>
    <t>453K</t>
  </si>
  <si>
    <t>579K</t>
  </si>
  <si>
    <t>195K</t>
  </si>
  <si>
    <t>194K</t>
  </si>
  <si>
    <t>251K</t>
  </si>
  <si>
    <t>149K</t>
  </si>
  <si>
    <t>Bhopal</t>
  </si>
  <si>
    <t>Gwalior</t>
  </si>
  <si>
    <t>Indore</t>
  </si>
  <si>
    <t>Jabalpur</t>
  </si>
  <si>
    <t>MY FM</t>
  </si>
  <si>
    <t>Radio Dhammal</t>
  </si>
  <si>
    <t>Radio Mirchi</t>
  </si>
  <si>
    <t>Bilaspur</t>
  </si>
  <si>
    <t>Raigarh</t>
  </si>
  <si>
    <t>Raipur</t>
  </si>
  <si>
    <t>My FM</t>
  </si>
  <si>
    <t>Radio Orange</t>
  </si>
  <si>
    <t>197K</t>
  </si>
  <si>
    <t>125K</t>
  </si>
  <si>
    <t>181K</t>
  </si>
  <si>
    <t>Jamshedpur</t>
  </si>
  <si>
    <t>Ranchi</t>
  </si>
  <si>
    <t>228K</t>
  </si>
  <si>
    <t>223K</t>
  </si>
  <si>
    <t>138K</t>
  </si>
  <si>
    <t>288K</t>
  </si>
  <si>
    <t>Bhaderwah</t>
  </si>
  <si>
    <t>Jammu</t>
  </si>
  <si>
    <t>Kathua</t>
  </si>
  <si>
    <t>Poonch</t>
  </si>
  <si>
    <t>Srinagar</t>
  </si>
  <si>
    <t>Top FM</t>
  </si>
  <si>
    <t>106K</t>
  </si>
  <si>
    <t>47K</t>
  </si>
  <si>
    <t>22K</t>
  </si>
  <si>
    <t>Shimla</t>
  </si>
  <si>
    <t>Nellore</t>
  </si>
  <si>
    <t>Rajahmundry</t>
  </si>
  <si>
    <t>Tirupati</t>
  </si>
  <si>
    <t>Vijayawada</t>
  </si>
  <si>
    <t>Visakhapatnam</t>
  </si>
  <si>
    <t>81K</t>
  </si>
  <si>
    <t>83K</t>
  </si>
  <si>
    <t>86K</t>
  </si>
  <si>
    <t>88K</t>
  </si>
  <si>
    <t>153K</t>
  </si>
  <si>
    <t>166K</t>
  </si>
  <si>
    <t>99K</t>
  </si>
  <si>
    <t>Bengaluru</t>
  </si>
  <si>
    <t>Hubbali</t>
  </si>
  <si>
    <t>Kalaburgi</t>
  </si>
  <si>
    <t>Managaluru</t>
  </si>
  <si>
    <t>Mysuru</t>
  </si>
  <si>
    <t>Fever FM</t>
  </si>
  <si>
    <t>Radio Indigo</t>
  </si>
  <si>
    <t>Radio Mirchi (Hindi)</t>
  </si>
  <si>
    <t>Radio One</t>
  </si>
  <si>
    <t>1M</t>
  </si>
  <si>
    <t>1.8M</t>
  </si>
  <si>
    <t>1.3M</t>
  </si>
  <si>
    <t>1.7M</t>
  </si>
  <si>
    <t>665K</t>
  </si>
  <si>
    <t>2.4M</t>
  </si>
  <si>
    <t>909K</t>
  </si>
  <si>
    <t>150K</t>
  </si>
  <si>
    <t>75K</t>
  </si>
  <si>
    <t>112K</t>
  </si>
  <si>
    <t>139K</t>
  </si>
  <si>
    <t>167K</t>
  </si>
  <si>
    <t>103K</t>
  </si>
  <si>
    <t>340K</t>
  </si>
  <si>
    <t>328K</t>
  </si>
  <si>
    <t>Aizawl</t>
  </si>
  <si>
    <t>Itanagar</t>
  </si>
  <si>
    <t>Amritsar</t>
  </si>
  <si>
    <t>Jalandhar</t>
  </si>
  <si>
    <t>Patiala</t>
  </si>
  <si>
    <t>Ludhiyana</t>
  </si>
  <si>
    <t>111K</t>
  </si>
  <si>
    <t>109K</t>
  </si>
  <si>
    <t>255K</t>
  </si>
  <si>
    <t>146K</t>
  </si>
  <si>
    <t>224K</t>
  </si>
  <si>
    <t>216K</t>
  </si>
  <si>
    <t>151K</t>
  </si>
  <si>
    <t>98K</t>
  </si>
  <si>
    <t>67K</t>
  </si>
  <si>
    <t>Gangtok</t>
  </si>
  <si>
    <t>Radio Misty</t>
  </si>
  <si>
    <t>Agartala</t>
  </si>
  <si>
    <t>Shillong</t>
  </si>
  <si>
    <t>Dehradun</t>
  </si>
  <si>
    <t>Radio Zindagi</t>
  </si>
  <si>
    <t>Bhubaneswar</t>
  </si>
  <si>
    <t>Cuttack</t>
  </si>
  <si>
    <t>Rourkela</t>
  </si>
  <si>
    <t>Radio Choklate</t>
  </si>
  <si>
    <t>Red Fm</t>
  </si>
  <si>
    <t>Sarthak FM</t>
  </si>
  <si>
    <t>117K</t>
  </si>
  <si>
    <t>70K</t>
  </si>
  <si>
    <t>87K</t>
  </si>
  <si>
    <t>Panaji</t>
  </si>
  <si>
    <t>Kannur</t>
  </si>
  <si>
    <t>Kochi</t>
  </si>
  <si>
    <t>Kozhikode</t>
  </si>
  <si>
    <t>Thiruvananthapuram</t>
  </si>
  <si>
    <t>Thrissur</t>
  </si>
  <si>
    <t>Alappuzha</t>
  </si>
  <si>
    <t>Radio Mango</t>
  </si>
  <si>
    <t>452K</t>
  </si>
  <si>
    <t>427K</t>
  </si>
  <si>
    <t>760K</t>
  </si>
  <si>
    <t>848K</t>
  </si>
  <si>
    <t>551K</t>
  </si>
  <si>
    <t>383K</t>
  </si>
  <si>
    <t>73K</t>
  </si>
  <si>
    <t>373K</t>
  </si>
  <si>
    <t>458K</t>
  </si>
  <si>
    <t>456K</t>
  </si>
  <si>
    <t>445K</t>
  </si>
  <si>
    <t>439K</t>
  </si>
  <si>
    <t>Ahmedabad</t>
  </si>
  <si>
    <t>Bharuch</t>
  </si>
  <si>
    <t>Godhra</t>
  </si>
  <si>
    <t>Jamnagar</t>
  </si>
  <si>
    <t>Junagadh</t>
  </si>
  <si>
    <t>Mehsana</t>
  </si>
  <si>
    <t>Palanpur</t>
  </si>
  <si>
    <t>Porbandar</t>
  </si>
  <si>
    <t>Rajkot</t>
  </si>
  <si>
    <t>Surat</t>
  </si>
  <si>
    <t>Vadodara</t>
  </si>
  <si>
    <t>Veraval</t>
  </si>
  <si>
    <t>303K</t>
  </si>
  <si>
    <t>348K</t>
  </si>
  <si>
    <t>459K</t>
  </si>
  <si>
    <t>104K</t>
  </si>
  <si>
    <t>761K</t>
  </si>
  <si>
    <t>26K</t>
  </si>
  <si>
    <t>141K</t>
  </si>
  <si>
    <t>72K</t>
  </si>
  <si>
    <t>134K</t>
  </si>
  <si>
    <t>595K</t>
  </si>
  <si>
    <t>545K</t>
  </si>
  <si>
    <t>316K</t>
  </si>
  <si>
    <t>628K</t>
  </si>
  <si>
    <t>751K</t>
  </si>
  <si>
    <t>448K</t>
  </si>
  <si>
    <t>254K</t>
  </si>
  <si>
    <t>147K</t>
  </si>
  <si>
    <t>157K</t>
  </si>
  <si>
    <t>120K</t>
  </si>
  <si>
    <t>Suryan FM</t>
  </si>
  <si>
    <t>Hello Fm</t>
  </si>
  <si>
    <t>178K</t>
  </si>
  <si>
    <t>50K</t>
  </si>
  <si>
    <t>Hyderabad</t>
  </si>
  <si>
    <t>Warangal</t>
  </si>
  <si>
    <t>682K</t>
  </si>
  <si>
    <t>511K</t>
  </si>
  <si>
    <t>268K</t>
  </si>
  <si>
    <t>432K</t>
  </si>
  <si>
    <t>89K</t>
  </si>
  <si>
    <t>Chennai</t>
  </si>
  <si>
    <t>Coimbatore</t>
  </si>
  <si>
    <t>Erode</t>
  </si>
  <si>
    <t>Madurai</t>
  </si>
  <si>
    <t>Salem</t>
  </si>
  <si>
    <t>Tiruchirappalli</t>
  </si>
  <si>
    <t>Tirunelveli</t>
  </si>
  <si>
    <t>Tuticorin</t>
  </si>
  <si>
    <t>Vellore</t>
  </si>
  <si>
    <t>Hello FM</t>
  </si>
  <si>
    <t xml:space="preserve">Suryan FM </t>
  </si>
  <si>
    <t>670K</t>
  </si>
  <si>
    <t>272K</t>
  </si>
  <si>
    <t>601K</t>
  </si>
  <si>
    <t>1.2M</t>
  </si>
  <si>
    <t>357K</t>
  </si>
  <si>
    <t>945K</t>
  </si>
  <si>
    <t>191K</t>
  </si>
  <si>
    <t>541K</t>
  </si>
  <si>
    <t>295K</t>
  </si>
  <si>
    <t>358K</t>
  </si>
  <si>
    <t>94K</t>
  </si>
  <si>
    <t>522K</t>
  </si>
  <si>
    <t>381K</t>
  </si>
  <si>
    <t>467K</t>
  </si>
  <si>
    <t>174K</t>
  </si>
  <si>
    <t>211K</t>
  </si>
  <si>
    <t>102K</t>
  </si>
  <si>
    <t>346K</t>
  </si>
  <si>
    <t>Guwahati</t>
  </si>
  <si>
    <t>200K</t>
  </si>
  <si>
    <t>63K</t>
  </si>
  <si>
    <t>183K</t>
  </si>
  <si>
    <t>Radio Gup-Shap</t>
  </si>
  <si>
    <t>Hisar</t>
  </si>
  <si>
    <t>Karnal</t>
  </si>
  <si>
    <t>New Delhi</t>
  </si>
  <si>
    <t>Ishq FM</t>
  </si>
  <si>
    <t>Radio Nasha</t>
  </si>
  <si>
    <t>2.7M</t>
  </si>
  <si>
    <t>2.2M</t>
  </si>
  <si>
    <t>3.3M</t>
  </si>
  <si>
    <t>4.3M</t>
  </si>
  <si>
    <t>1.9M</t>
  </si>
  <si>
    <t>693K</t>
  </si>
  <si>
    <t>Hit FM</t>
  </si>
  <si>
    <t>Punjabi Fever</t>
  </si>
  <si>
    <t>997K</t>
  </si>
  <si>
    <t>1.6M</t>
  </si>
  <si>
    <t>Asansol</t>
  </si>
  <si>
    <t>Kolkata</t>
  </si>
  <si>
    <t>Siliguri</t>
  </si>
  <si>
    <t>Big Fm</t>
  </si>
  <si>
    <t>Fever Fm</t>
  </si>
  <si>
    <t>142K</t>
  </si>
  <si>
    <t>143K</t>
  </si>
  <si>
    <t>59K</t>
  </si>
  <si>
    <t>597K</t>
  </si>
  <si>
    <t>647K</t>
  </si>
  <si>
    <t>330K</t>
  </si>
  <si>
    <t>959K</t>
  </si>
  <si>
    <t>398K</t>
  </si>
  <si>
    <t>84K</t>
  </si>
  <si>
    <t>52K</t>
  </si>
  <si>
    <t>Agra</t>
  </si>
  <si>
    <t>Aligarh</t>
  </si>
  <si>
    <t>Prayagraj</t>
  </si>
  <si>
    <t>Bareilly</t>
  </si>
  <si>
    <t>Gorakhpur</t>
  </si>
  <si>
    <t>Jhansi</t>
  </si>
  <si>
    <t>Kanpur</t>
  </si>
  <si>
    <t>Lucknow</t>
  </si>
  <si>
    <t>Varanasi</t>
  </si>
  <si>
    <t>82K</t>
  </si>
  <si>
    <t>118K</t>
  </si>
  <si>
    <t>79K</t>
  </si>
  <si>
    <t>110K</t>
  </si>
  <si>
    <t>160K</t>
  </si>
  <si>
    <t>77K</t>
  </si>
  <si>
    <t>41K</t>
  </si>
  <si>
    <t>58K</t>
  </si>
  <si>
    <t>105K</t>
  </si>
  <si>
    <t>44K</t>
  </si>
  <si>
    <t>270K</t>
  </si>
  <si>
    <t>454K</t>
  </si>
  <si>
    <t>476K</t>
  </si>
  <si>
    <t>248K</t>
  </si>
  <si>
    <t>564K</t>
  </si>
  <si>
    <t>219K</t>
  </si>
  <si>
    <t>479K</t>
  </si>
  <si>
    <t>468K</t>
  </si>
  <si>
    <t>233K</t>
  </si>
  <si>
    <t>737K</t>
  </si>
  <si>
    <t>262K</t>
  </si>
  <si>
    <t>256K</t>
  </si>
  <si>
    <t>198K</t>
  </si>
  <si>
    <t>319K</t>
  </si>
  <si>
    <t>162K</t>
  </si>
  <si>
    <t>359K</t>
  </si>
  <si>
    <t>MY  FM</t>
  </si>
  <si>
    <t>59k</t>
  </si>
  <si>
    <t>29k</t>
  </si>
  <si>
    <t>28k</t>
  </si>
  <si>
    <t>24K</t>
  </si>
  <si>
    <t>48K</t>
  </si>
  <si>
    <t>769K</t>
  </si>
  <si>
    <t>747K</t>
  </si>
  <si>
    <t>881K</t>
  </si>
  <si>
    <t>826K</t>
  </si>
  <si>
    <t>998K</t>
  </si>
  <si>
    <t>76K</t>
  </si>
  <si>
    <t>95K</t>
  </si>
  <si>
    <t>71K</t>
  </si>
  <si>
    <t>290K</t>
  </si>
  <si>
    <t>2.5M</t>
  </si>
  <si>
    <t>2.6M</t>
  </si>
  <si>
    <t>2.9M</t>
  </si>
  <si>
    <t>2.3M</t>
  </si>
  <si>
    <t>519K</t>
  </si>
  <si>
    <t>495K</t>
  </si>
  <si>
    <t>329K</t>
  </si>
  <si>
    <t>434K</t>
  </si>
  <si>
    <t>505K</t>
  </si>
  <si>
    <t>565K</t>
  </si>
  <si>
    <t>704K</t>
  </si>
  <si>
    <t>283K</t>
  </si>
  <si>
    <t>130K</t>
  </si>
  <si>
    <t>1.1M</t>
  </si>
  <si>
    <t>518K</t>
  </si>
  <si>
    <t>525K</t>
  </si>
  <si>
    <t>62K</t>
  </si>
  <si>
    <t>155K</t>
  </si>
  <si>
    <t>Listenership (per week)</t>
  </si>
  <si>
    <t>Bhuj</t>
  </si>
  <si>
    <t>Gadhidham</t>
  </si>
  <si>
    <t>Magic FM</t>
  </si>
  <si>
    <t>Radio Dhoom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</si>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</sst>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&quot;₹&quot;\ #,##0"/>
    <numFmt numFmtId="166" formatCode="0.0"/>
    <numFmt numFmtId="167" formatCode="&quot;₹&quot;\ 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0"/>
      <name val="Aharoni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510C2C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18">
    <xf numFmtId="0" fontId="0" fillId="0" borderId="0" xfId="0"/>
    <xf numFmtId="0" fontId="3" fillId="2" borderId="16" xfId="1" applyNumberFormat="1" applyFont="1" applyFill="1" applyBorder="1" applyAlignment="1">
      <alignment horizontal="center" vertical="center"/>
    </xf>
    <xf numFmtId="164" fontId="3" fillId="2" borderId="17" xfId="1" applyNumberFormat="1" applyFont="1" applyFill="1" applyBorder="1" applyAlignment="1">
      <alignment horizontal="center" vertical="center"/>
    </xf>
    <xf numFmtId="0" fontId="1" fillId="0" borderId="17" xfId="2" applyBorder="1" applyAlignment="1">
      <alignment horizontal="center" vertical="center"/>
    </xf>
    <xf numFmtId="0" fontId="3" fillId="2" borderId="17" xfId="1" applyNumberFormat="1" applyFont="1" applyFill="1" applyBorder="1" applyAlignment="1">
      <alignment horizontal="center" vertical="center"/>
    </xf>
    <xf numFmtId="3" fontId="3" fillId="2" borderId="17" xfId="1" applyNumberFormat="1" applyFont="1" applyFill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 wrapText="1"/>
    </xf>
    <xf numFmtId="165" fontId="1" fillId="2" borderId="17" xfId="1" applyNumberFormat="1" applyFont="1" applyFill="1" applyBorder="1" applyAlignment="1">
      <alignment horizontal="center" vertical="center"/>
    </xf>
    <xf numFmtId="165" fontId="2" fillId="2" borderId="18" xfId="1" applyNumberFormat="1" applyFont="1" applyFill="1" applyBorder="1" applyAlignment="1">
      <alignment horizontal="center" vertical="center"/>
    </xf>
    <xf numFmtId="0" fontId="0" fillId="0" borderId="17" xfId="2" applyFont="1" applyBorder="1" applyAlignment="1">
      <alignment horizontal="center" vertical="center"/>
    </xf>
    <xf numFmtId="165" fontId="3" fillId="0" borderId="17" xfId="2" applyNumberFormat="1" applyFont="1" applyBorder="1" applyAlignment="1">
      <alignment horizontal="center" vertical="center" wrapText="1"/>
    </xf>
    <xf numFmtId="165" fontId="3" fillId="0" borderId="17" xfId="2" applyNumberFormat="1" applyFont="1" applyBorder="1" applyAlignment="1">
      <alignment horizontal="center" vertical="center"/>
    </xf>
    <xf numFmtId="166" fontId="1" fillId="0" borderId="17" xfId="2" applyNumberFormat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0" fillId="2" borderId="2" xfId="1" applyNumberFormat="1" applyFont="1" applyFill="1" applyBorder="1" applyAlignment="1">
      <alignment horizontal="center" vertical="center"/>
    </xf>
    <xf numFmtId="164" fontId="0" fillId="2" borderId="3" xfId="1" applyNumberFormat="1" applyFont="1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164" fontId="0" fillId="2" borderId="7" xfId="1" applyNumberFormat="1" applyFont="1" applyFill="1" applyBorder="1" applyAlignment="1">
      <alignment horizontal="center" vertical="center"/>
    </xf>
    <xf numFmtId="164" fontId="0" fillId="2" borderId="8" xfId="1" applyNumberFormat="1" applyFont="1" applyFill="1" applyBorder="1" applyAlignment="1">
      <alignment horizontal="center" vertical="center"/>
    </xf>
    <xf numFmtId="167" fontId="3" fillId="0" borderId="17" xfId="0" applyNumberFormat="1" applyFont="1" applyBorder="1" applyAlignment="1">
      <alignment horizontal="center" vertical="center" wrapText="1"/>
    </xf>
    <xf numFmtId="0" fontId="3" fillId="2" borderId="13" xfId="1" applyNumberFormat="1" applyFont="1" applyFill="1" applyBorder="1" applyAlignment="1">
      <alignment horizontal="center" vertical="center"/>
    </xf>
    <xf numFmtId="0" fontId="0" fillId="0" borderId="14" xfId="2" applyFont="1" applyBorder="1" applyAlignment="1">
      <alignment horizontal="center" vertical="center"/>
    </xf>
    <xf numFmtId="165" fontId="3" fillId="2" borderId="17" xfId="1" applyNumberFormat="1" applyFont="1" applyFill="1" applyBorder="1" applyAlignment="1">
      <alignment horizontal="center" vertical="center"/>
    </xf>
    <xf numFmtId="165" fontId="0" fillId="2" borderId="17" xfId="1" applyNumberFormat="1" applyFont="1" applyFill="1" applyBorder="1" applyAlignment="1">
      <alignment horizontal="center" vertical="center"/>
    </xf>
    <xf numFmtId="165" fontId="3" fillId="2" borderId="14" xfId="1" applyNumberFormat="1" applyFont="1" applyFill="1" applyBorder="1" applyAlignment="1">
      <alignment horizontal="center" vertical="center"/>
    </xf>
    <xf numFmtId="165" fontId="1" fillId="2" borderId="14" xfId="1" applyNumberFormat="1" applyFont="1" applyFill="1" applyBorder="1" applyAlignment="1">
      <alignment horizontal="center" vertical="center"/>
    </xf>
    <xf numFmtId="165" fontId="2" fillId="2" borderId="15" xfId="1" applyNumberFormat="1" applyFont="1" applyFill="1" applyBorder="1" applyAlignment="1">
      <alignment horizontal="center" vertical="center"/>
    </xf>
    <xf numFmtId="0" fontId="1" fillId="0" borderId="14" xfId="2" applyBorder="1" applyAlignment="1">
      <alignment horizontal="center" vertical="center"/>
    </xf>
    <xf numFmtId="0" fontId="3" fillId="2" borderId="31" xfId="1" applyNumberFormat="1" applyFont="1" applyFill="1" applyBorder="1" applyAlignment="1">
      <alignment horizontal="center" vertical="center"/>
    </xf>
    <xf numFmtId="164" fontId="3" fillId="2" borderId="35" xfId="1" applyNumberFormat="1" applyFont="1" applyFill="1" applyBorder="1" applyAlignment="1">
      <alignment horizontal="center" vertical="center"/>
    </xf>
    <xf numFmtId="0" fontId="1" fillId="0" borderId="35" xfId="2" applyBorder="1" applyAlignment="1">
      <alignment horizontal="center" vertical="center"/>
    </xf>
    <xf numFmtId="0" fontId="3" fillId="2" borderId="35" xfId="1" applyNumberFormat="1" applyFont="1" applyFill="1" applyBorder="1" applyAlignment="1">
      <alignment horizontal="center" vertical="center"/>
    </xf>
    <xf numFmtId="3" fontId="3" fillId="2" borderId="35" xfId="1" applyNumberFormat="1" applyFont="1" applyFill="1" applyBorder="1" applyAlignment="1">
      <alignment horizontal="center" vertical="center"/>
    </xf>
    <xf numFmtId="165" fontId="3" fillId="2" borderId="35" xfId="1" applyNumberFormat="1" applyFont="1" applyFill="1" applyBorder="1" applyAlignment="1">
      <alignment horizontal="center" vertical="center"/>
    </xf>
    <xf numFmtId="165" fontId="1" fillId="2" borderId="35" xfId="1" applyNumberFormat="1" applyFont="1" applyFill="1" applyBorder="1" applyAlignment="1">
      <alignment horizontal="center" vertical="center"/>
    </xf>
    <xf numFmtId="165" fontId="2" fillId="2" borderId="36" xfId="1" applyNumberFormat="1" applyFont="1" applyFill="1" applyBorder="1" applyAlignment="1">
      <alignment horizontal="center" vertical="center"/>
    </xf>
    <xf numFmtId="0" fontId="0" fillId="0" borderId="35" xfId="2" applyFont="1" applyBorder="1" applyAlignment="1">
      <alignment horizontal="center" vertical="center"/>
    </xf>
    <xf numFmtId="164" fontId="3" fillId="2" borderId="14" xfId="1" applyNumberFormat="1" applyFont="1" applyFill="1" applyBorder="1" applyAlignment="1">
      <alignment horizontal="center" vertical="center"/>
    </xf>
    <xf numFmtId="3" fontId="3" fillId="2" borderId="14" xfId="1" applyNumberFormat="1" applyFont="1" applyFill="1" applyBorder="1" applyAlignment="1">
      <alignment horizontal="center" vertical="center"/>
    </xf>
    <xf numFmtId="165" fontId="1" fillId="2" borderId="37" xfId="1" applyNumberFormat="1" applyFont="1" applyFill="1" applyBorder="1" applyAlignment="1">
      <alignment horizontal="center" vertical="center"/>
    </xf>
    <xf numFmtId="166" fontId="0" fillId="0" borderId="17" xfId="2" applyNumberFormat="1" applyFont="1" applyBorder="1" applyAlignment="1">
      <alignment horizontal="center" vertical="center"/>
    </xf>
    <xf numFmtId="0" fontId="0" fillId="0" borderId="38" xfId="2" applyFont="1" applyBorder="1" applyAlignment="1">
      <alignment horizontal="center" vertical="center"/>
    </xf>
    <xf numFmtId="0" fontId="3" fillId="2" borderId="9" xfId="1" applyNumberFormat="1" applyFont="1" applyFill="1" applyBorder="1" applyAlignment="1">
      <alignment horizontal="center" vertical="center"/>
    </xf>
    <xf numFmtId="164" fontId="3" fillId="2" borderId="10" xfId="1" applyNumberFormat="1" applyFont="1" applyFill="1" applyBorder="1" applyAlignment="1">
      <alignment horizontal="center" vertical="center"/>
    </xf>
    <xf numFmtId="0" fontId="1" fillId="0" borderId="10" xfId="2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0" fontId="3" fillId="2" borderId="10" xfId="1" applyNumberFormat="1" applyFont="1" applyFill="1" applyBorder="1" applyAlignment="1">
      <alignment horizontal="center" vertical="center"/>
    </xf>
    <xf numFmtId="3" fontId="3" fillId="2" borderId="10" xfId="1" applyNumberFormat="1" applyFont="1" applyFill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 wrapText="1"/>
    </xf>
    <xf numFmtId="165" fontId="1" fillId="2" borderId="10" xfId="1" applyNumberFormat="1" applyFont="1" applyFill="1" applyBorder="1" applyAlignment="1">
      <alignment horizontal="center" vertical="center"/>
    </xf>
    <xf numFmtId="165" fontId="2" fillId="2" borderId="12" xfId="1" applyNumberFormat="1" applyFont="1" applyFill="1" applyBorder="1" applyAlignment="1">
      <alignment horizontal="center" vertical="center"/>
    </xf>
    <xf numFmtId="0" fontId="3" fillId="2" borderId="32" xfId="1" applyNumberFormat="1" applyFont="1" applyFill="1" applyBorder="1" applyAlignment="1">
      <alignment horizontal="center" vertical="center"/>
    </xf>
    <xf numFmtId="164" fontId="3" fillId="2" borderId="33" xfId="1" applyNumberFormat="1" applyFont="1" applyFill="1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0" fillId="0" borderId="33" xfId="2" applyFont="1" applyBorder="1" applyAlignment="1">
      <alignment horizontal="center" vertical="center"/>
    </xf>
    <xf numFmtId="0" fontId="3" fillId="2" borderId="33" xfId="1" applyNumberFormat="1" applyFont="1" applyFill="1" applyBorder="1" applyAlignment="1">
      <alignment horizontal="center" vertical="center"/>
    </xf>
    <xf numFmtId="3" fontId="3" fillId="2" borderId="33" xfId="1" applyNumberFormat="1" applyFont="1" applyFill="1" applyBorder="1" applyAlignment="1">
      <alignment horizontal="center" vertical="center"/>
    </xf>
    <xf numFmtId="165" fontId="3" fillId="0" borderId="33" xfId="2" applyNumberFormat="1" applyFont="1" applyBorder="1" applyAlignment="1">
      <alignment horizontal="center" vertical="center" wrapText="1"/>
    </xf>
    <xf numFmtId="165" fontId="1" fillId="2" borderId="33" xfId="1" applyNumberFormat="1" applyFont="1" applyFill="1" applyBorder="1" applyAlignment="1">
      <alignment horizontal="center" vertical="center"/>
    </xf>
    <xf numFmtId="165" fontId="2" fillId="2" borderId="34" xfId="1" applyNumberFormat="1" applyFont="1" applyFill="1" applyBorder="1" applyAlignment="1">
      <alignment horizontal="center" vertical="center"/>
    </xf>
    <xf numFmtId="164" fontId="8" fillId="4" borderId="16" xfId="1" applyNumberFormat="1" applyFont="1" applyFill="1" applyBorder="1" applyAlignment="1">
      <alignment horizontal="center" vertical="center" wrapText="1"/>
    </xf>
    <xf numFmtId="164" fontId="8" fillId="4" borderId="17" xfId="1" applyNumberFormat="1" applyFont="1" applyFill="1" applyBorder="1" applyAlignment="1">
      <alignment horizontal="center" vertical="center" wrapText="1"/>
    </xf>
    <xf numFmtId="164" fontId="8" fillId="4" borderId="18" xfId="1" applyNumberFormat="1" applyFont="1" applyFill="1" applyBorder="1" applyAlignment="1">
      <alignment horizontal="center" vertical="center" wrapText="1"/>
    </xf>
    <xf numFmtId="164" fontId="8" fillId="4" borderId="13" xfId="1" applyNumberFormat="1" applyFont="1" applyFill="1" applyBorder="1" applyAlignment="1">
      <alignment horizontal="center" vertical="center" wrapText="1"/>
    </xf>
    <xf numFmtId="164" fontId="8" fillId="4" borderId="14" xfId="1" applyNumberFormat="1" applyFont="1" applyFill="1" applyBorder="1" applyAlignment="1">
      <alignment horizontal="center" vertical="center" wrapText="1"/>
    </xf>
    <xf numFmtId="164" fontId="8" fillId="4" borderId="15" xfId="1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164" fontId="0" fillId="0" borderId="1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6" fillId="4" borderId="9" xfId="1" applyNumberFormat="1" applyFont="1" applyFill="1" applyBorder="1" applyAlignment="1">
      <alignment horizontal="center" vertical="center"/>
    </xf>
    <xf numFmtId="164" fontId="6" fillId="4" borderId="10" xfId="1" applyNumberFormat="1" applyFont="1" applyFill="1" applyBorder="1" applyAlignment="1">
      <alignment horizontal="center" vertical="center"/>
    </xf>
    <xf numFmtId="164" fontId="6" fillId="4" borderId="11" xfId="1" applyNumberFormat="1" applyFont="1" applyFill="1" applyBorder="1" applyAlignment="1">
      <alignment horizontal="center" vertical="center"/>
    </xf>
    <xf numFmtId="164" fontId="6" fillId="4" borderId="12" xfId="1" applyNumberFormat="1" applyFont="1" applyFill="1" applyBorder="1" applyAlignment="1">
      <alignment horizontal="center" vertical="center"/>
    </xf>
    <xf numFmtId="0" fontId="4" fillId="2" borderId="19" xfId="1" applyNumberFormat="1" applyFont="1" applyFill="1" applyBorder="1" applyAlignment="1">
      <alignment horizontal="center" vertical="center"/>
    </xf>
    <xf numFmtId="0" fontId="4" fillId="2" borderId="20" xfId="1" applyNumberFormat="1" applyFont="1" applyFill="1" applyBorder="1" applyAlignment="1">
      <alignment horizontal="center" vertical="center"/>
    </xf>
    <xf numFmtId="0" fontId="4" fillId="2" borderId="21" xfId="1" applyNumberFormat="1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left" vertical="center"/>
    </xf>
    <xf numFmtId="0" fontId="9" fillId="4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left" vertical="center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164" fontId="6" fillId="4" borderId="22" xfId="1" applyNumberFormat="1" applyFont="1" applyFill="1" applyBorder="1" applyAlignment="1">
      <alignment horizontal="center" vertical="center"/>
    </xf>
    <xf numFmtId="164" fontId="6" fillId="4" borderId="23" xfId="1" applyNumberFormat="1" applyFont="1" applyFill="1" applyBorder="1" applyAlignment="1">
      <alignment horizontal="center" vertical="center"/>
    </xf>
    <xf numFmtId="164" fontId="6" fillId="4" borderId="24" xfId="1" applyNumberFormat="1" applyFont="1" applyFill="1" applyBorder="1" applyAlignment="1">
      <alignment horizontal="center" vertical="center"/>
    </xf>
    <xf numFmtId="0" fontId="4" fillId="2" borderId="6" xfId="1" applyNumberFormat="1" applyFont="1" applyFill="1" applyBorder="1" applyAlignment="1">
      <alignment horizontal="center" vertical="center"/>
    </xf>
    <xf numFmtId="0" fontId="4" fillId="2" borderId="7" xfId="1" applyNumberFormat="1" applyFont="1" applyFill="1" applyBorder="1" applyAlignment="1">
      <alignment horizontal="center" vertical="center"/>
    </xf>
    <xf numFmtId="0" fontId="4" fillId="2" borderId="8" xfId="1" applyNumberFormat="1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5" fillId="4" borderId="24" xfId="0" applyFont="1" applyFill="1" applyBorder="1" applyAlignment="1">
      <alignment horizontal="left" vertical="center"/>
    </xf>
    <xf numFmtId="164" fontId="7" fillId="0" borderId="32" xfId="1" applyNumberFormat="1" applyFont="1" applyFill="1" applyBorder="1" applyAlignment="1">
      <alignment horizontal="center" vertical="center"/>
    </xf>
    <xf numFmtId="164" fontId="7" fillId="0" borderId="33" xfId="1" applyNumberFormat="1" applyFont="1" applyFill="1" applyBorder="1" applyAlignment="1">
      <alignment horizontal="center" vertical="center"/>
    </xf>
    <xf numFmtId="164" fontId="7" fillId="0" borderId="34" xfId="1" applyNumberFormat="1" applyFont="1" applyFill="1" applyBorder="1" applyAlignment="1">
      <alignment horizontal="center" vertical="center"/>
    </xf>
    <xf numFmtId="0" fontId="3" fillId="2" borderId="22" xfId="1" applyNumberFormat="1" applyFont="1" applyFill="1" applyBorder="1" applyAlignment="1">
      <alignment horizontal="center" vertical="center"/>
    </xf>
    <xf numFmtId="0" fontId="3" fillId="2" borderId="23" xfId="1" applyNumberFormat="1" applyFont="1" applyFill="1" applyBorder="1" applyAlignment="1">
      <alignment horizontal="center" vertical="center"/>
    </xf>
    <xf numFmtId="0" fontId="3" fillId="2" borderId="24" xfId="1" applyNumberFormat="1" applyFont="1" applyFill="1" applyBorder="1" applyAlignment="1">
      <alignment horizontal="center" vertical="center"/>
    </xf>
    <xf numFmtId="164" fontId="7" fillId="0" borderId="19" xfId="1" applyNumberFormat="1" applyFont="1" applyFill="1" applyBorder="1" applyAlignment="1">
      <alignment horizontal="center" vertical="center"/>
    </xf>
    <xf numFmtId="164" fontId="7" fillId="0" borderId="20" xfId="1" applyNumberFormat="1" applyFont="1" applyFill="1" applyBorder="1" applyAlignment="1">
      <alignment horizontal="center" vertical="center"/>
    </xf>
    <xf numFmtId="164" fontId="7" fillId="0" borderId="21" xfId="1" applyNumberFormat="1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EC64E881-D437-47F1-BF87-50B9AAB4F3F7}"/>
  </cellStyles>
  <dxfs count="10"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858540-5AAE-4A90-B0F9-E53473B076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616A62-D205-44CC-8D46-2DF1741B71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ADAA8F-AA14-4F12-9025-B9205130F1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1A3A27-6391-4F3B-B650-70DDEB8B3883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4882CDA-F9E9-45C1-B60A-59E95CCD0FB9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688A01E-9DCF-492E-92CE-DA2C92443767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D00609-3548-489B-A5E3-76885842B6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3703998-3AAD-4E63-BE86-2AA3A914682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101163E-4F17-4951-99B6-9A0F30E836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AC5884-3F74-4D56-B3A0-8FED3A32CD29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82CBF1-72CF-417A-8079-3196C0D35E36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E8AAFB-D233-493C-871E-67C3A95C699F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BE7E7C2-3710-46E5-9A17-4479F2908DF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4F43282-0E35-4EEE-89F6-B45547D573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80B819-EB33-45C8-9888-29D3A9E8474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5365BDA-A3A7-487D-A516-7E06923846AC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473C7ED-424D-4B11-947C-FEA264489AF5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099E9F8-399C-408B-B493-C8D7A723E553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70F7AE7-51BD-4ED0-9C60-E6950FB0D1F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226AFB0-6D9D-4190-A334-895CA39B8B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4601454-9C3E-4D52-A4AE-B9B84818245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E61F8F7-41E8-421E-973F-EB9450ABF0D6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10F4E02-B338-4955-879C-FD00B7D6BE68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66B118A-0541-4497-86F1-DAC5F9B2DD76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D22801B-8E9C-4030-8D29-739E6C256B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6E7EBB8-0F7D-4CE1-AA1E-7E5AD92D45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93CB461-5CD8-4C2B-908B-5ED8695B671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1C3C6EB-26B8-49A5-91AD-73AB02BF0DA6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3F649B4-C2B5-4896-AF00-B5B8E1AA5DB8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C0DDFB0-B587-4E48-96DA-8A6AEB27F5CC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F8B171B-28EF-481D-932B-9A2984168A5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FB44125-C788-4C27-8725-358643FD82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F903251-1FE5-49B9-9D98-16DAD99A93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B237DC7-1A7B-45C6-9653-8CD0A5E21ED1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3E82BDF-3FEE-4032-8432-E8437A680A82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BA0198B-DC9B-4533-980E-D36F23D69265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9DC37B4-7D79-40BA-8D4B-8E1856DECF15}"/>
            </a:ext>
          </a:extLst>
        </xdr:cNvPr>
        <xdr:cNvSpPr txBox="1"/>
      </xdr:nvSpPr>
      <xdr:spPr>
        <a:xfrm>
          <a:off x="14811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0A91AF2-FC6B-4E0A-9A55-32B31FF80CD2}"/>
            </a:ext>
          </a:extLst>
        </xdr:cNvPr>
        <xdr:cNvSpPr txBox="1"/>
      </xdr:nvSpPr>
      <xdr:spPr>
        <a:xfrm>
          <a:off x="14811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63479E4-CA33-4E75-9FA9-4A1A62E92D0F}"/>
            </a:ext>
          </a:extLst>
        </xdr:cNvPr>
        <xdr:cNvSpPr txBox="1"/>
      </xdr:nvSpPr>
      <xdr:spPr>
        <a:xfrm>
          <a:off x="14811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5716AAF-764D-41B6-BF70-3D386A431E4B}"/>
            </a:ext>
          </a:extLst>
        </xdr:cNvPr>
        <xdr:cNvSpPr txBox="1"/>
      </xdr:nvSpPr>
      <xdr:spPr>
        <a:xfrm>
          <a:off x="14811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0F24DA5-6242-4AC0-9493-89F1F8A93C89}"/>
            </a:ext>
          </a:extLst>
        </xdr:cNvPr>
        <xdr:cNvSpPr txBox="1"/>
      </xdr:nvSpPr>
      <xdr:spPr>
        <a:xfrm>
          <a:off x="14811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623E768-F86F-4DA5-B76C-5390ABBBFF27}"/>
            </a:ext>
          </a:extLst>
        </xdr:cNvPr>
        <xdr:cNvSpPr txBox="1"/>
      </xdr:nvSpPr>
      <xdr:spPr>
        <a:xfrm>
          <a:off x="14811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E770C43-95DA-4956-A07E-C156001FB7A5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0AD52A0-729E-4B6B-A268-A607DEE8DEA5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52339DF-45D8-457B-83BB-7F8D8777FC82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350B19D-0399-46AD-BC1A-9BC796160453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5E6B84D-11F7-4E33-8B8B-B6EE11EB37A4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078F697-B964-405F-807A-751D4D9E0F66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906683</xdr:colOff>
      <xdr:row>0</xdr:row>
      <xdr:rowOff>0</xdr:rowOff>
    </xdr:from>
    <xdr:to>
      <xdr:col>9</xdr:col>
      <xdr:colOff>810227</xdr:colOff>
      <xdr:row>10</xdr:row>
      <xdr:rowOff>154540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046A88C-0A43-41BA-8326-C928672162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202101" y="0"/>
          <a:ext cx="2237772" cy="19871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1E5259-FB56-42FC-9A41-A81BB46175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F0FD29-0F69-4191-93A8-B0572C47CDF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B4EA54-25CD-43A1-807E-4EED8FACB4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E2721B-99CE-499F-9A0C-4C92ACBDA84F}"/>
            </a:ext>
          </a:extLst>
        </xdr:cNvPr>
        <xdr:cNvSpPr txBox="1"/>
      </xdr:nvSpPr>
      <xdr:spPr>
        <a:xfrm>
          <a:off x="2876550" y="404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F36A06-F8D8-4585-8F98-CF3956608835}"/>
            </a:ext>
          </a:extLst>
        </xdr:cNvPr>
        <xdr:cNvSpPr txBox="1"/>
      </xdr:nvSpPr>
      <xdr:spPr>
        <a:xfrm>
          <a:off x="2876550" y="404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D3AB84-28C9-44DD-A956-FF9C361654DE}"/>
            </a:ext>
          </a:extLst>
        </xdr:cNvPr>
        <xdr:cNvSpPr txBox="1"/>
      </xdr:nvSpPr>
      <xdr:spPr>
        <a:xfrm>
          <a:off x="2876550" y="404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72BCFCD-DA4B-4490-B1FC-7E4BDF3C94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FF1A8AD-37DA-4EA6-B884-59F6C3686A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9FC9FD3-52CB-4B41-8C5F-F94C44AB3D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50A55F8-ED4B-4BF2-9C25-AF330D502C1E}"/>
            </a:ext>
          </a:extLst>
        </xdr:cNvPr>
        <xdr:cNvSpPr txBox="1"/>
      </xdr:nvSpPr>
      <xdr:spPr>
        <a:xfrm>
          <a:off x="2876550" y="423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4C0BAB4-B6FE-478E-A5EC-78CDB05FC3C8}"/>
            </a:ext>
          </a:extLst>
        </xdr:cNvPr>
        <xdr:cNvSpPr txBox="1"/>
      </xdr:nvSpPr>
      <xdr:spPr>
        <a:xfrm>
          <a:off x="2876550" y="423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3C9D79C-B3C8-438A-B8A3-49DA247BDA26}"/>
            </a:ext>
          </a:extLst>
        </xdr:cNvPr>
        <xdr:cNvSpPr txBox="1"/>
      </xdr:nvSpPr>
      <xdr:spPr>
        <a:xfrm>
          <a:off x="2876550" y="423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F1EDB5B-05E8-4C1F-B8F7-5F74858CB3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26D8FD2-008E-4D83-B3C8-7D28F66A0F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D682BAD-7B72-49B2-9B91-58A2B4DB75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6D2BC61-ADA6-4259-BC0D-3201FED5B9D0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32A6BCB-19CF-40A2-831E-CBD4EA959CE6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711772B-BE0D-4E0C-8465-2463DC17B3DE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228B656-2BE6-46AE-BE5D-D2A1F457C1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EA282C-5A78-4E40-89EC-751E129C17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AD72A02-6E70-41B2-9706-445B92C23A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4F60529-52B7-46BD-A3E7-79396F92584D}"/>
            </a:ext>
          </a:extLst>
        </xdr:cNvPr>
        <xdr:cNvSpPr txBox="1"/>
      </xdr:nvSpPr>
      <xdr:spPr>
        <a:xfrm>
          <a:off x="2876550" y="5191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878D10A-5E01-450C-8F04-CE322D6E4EFD}"/>
            </a:ext>
          </a:extLst>
        </xdr:cNvPr>
        <xdr:cNvSpPr txBox="1"/>
      </xdr:nvSpPr>
      <xdr:spPr>
        <a:xfrm>
          <a:off x="2876550" y="5191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0BF13CF-4672-4B99-A2B7-8D705D32329F}"/>
            </a:ext>
          </a:extLst>
        </xdr:cNvPr>
        <xdr:cNvSpPr txBox="1"/>
      </xdr:nvSpPr>
      <xdr:spPr>
        <a:xfrm>
          <a:off x="2876550" y="5191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31B0C79-CA2D-4015-9C61-C1ECC31BEC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4306692-28D6-415A-80A8-69E7822011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83ECB02-76B2-4C3A-8B75-3E58FAE0982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2994427-BFAA-462D-B6EC-529D5D4C73C9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5388400-3DD6-43F0-B084-744C590D9A66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AD01ECE-3A09-4780-BED5-B65EA873E595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96B38A6-7FBE-4E59-BF25-735FB4D54C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4E060C1-2C78-422F-8499-96FC2CF7AB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9DC1D19-F11C-429C-9C49-56998C95F7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432603B-C052-47AF-9AC8-057CF77398DB}"/>
            </a:ext>
          </a:extLst>
        </xdr:cNvPr>
        <xdr:cNvSpPr txBox="1"/>
      </xdr:nvSpPr>
      <xdr:spPr>
        <a:xfrm>
          <a:off x="2876550" y="5191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3D236EF-E28D-4DD1-AA17-B23830708692}"/>
            </a:ext>
          </a:extLst>
        </xdr:cNvPr>
        <xdr:cNvSpPr txBox="1"/>
      </xdr:nvSpPr>
      <xdr:spPr>
        <a:xfrm>
          <a:off x="2876550" y="5191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449B022-FEE0-428C-8423-29B55A993D99}"/>
            </a:ext>
          </a:extLst>
        </xdr:cNvPr>
        <xdr:cNvSpPr txBox="1"/>
      </xdr:nvSpPr>
      <xdr:spPr>
        <a:xfrm>
          <a:off x="2876550" y="5191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38CFC63-B7F8-4348-B089-39F77B65806E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6776815-E82D-4090-82FA-CD6AAE2050A0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6FD7073-77AB-436C-B235-F0324E8AE571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1A7DBE1-FDC0-4E90-939B-330B2624B32F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090A676-D8C3-4D92-99AD-32824042D264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FAD7CBE-4374-4B50-91A7-10822C35A7C9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2904815-18BB-4F69-B07A-F1BB2C685EEE}"/>
            </a:ext>
          </a:extLst>
        </xdr:cNvPr>
        <xdr:cNvSpPr txBox="1"/>
      </xdr:nvSpPr>
      <xdr:spPr>
        <a:xfrm>
          <a:off x="2876550" y="500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A45CBD1-F10A-4546-9B63-B2AFE972F46C}"/>
            </a:ext>
          </a:extLst>
        </xdr:cNvPr>
        <xdr:cNvSpPr txBox="1"/>
      </xdr:nvSpPr>
      <xdr:spPr>
        <a:xfrm>
          <a:off x="2876550" y="500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146CBAF-AB81-4D6D-B3B0-F20797797DA4}"/>
            </a:ext>
          </a:extLst>
        </xdr:cNvPr>
        <xdr:cNvSpPr txBox="1"/>
      </xdr:nvSpPr>
      <xdr:spPr>
        <a:xfrm>
          <a:off x="2876550" y="5000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1F0C33F-1D1D-4CDD-9D62-46CD75D57E6C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1DA43DF-1E15-4DB6-9B33-1FCF67306D38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63C1713-90EE-443A-9075-DD7D3A7A4211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6D8F367-A623-4C70-A810-B3C26073DF0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4E5EAA5-8FFF-4C41-96B3-29D8EE21AA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EB568A7-F21B-442E-A15F-9F1D3F747C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EEDF17C-2D21-4625-9C25-B0A017DDE2A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9659FD8-D562-4007-ABAC-3DAC4F5CBA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C061E72-549F-4E34-AE88-50844A1F2B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C9F2995-E80A-4D2A-9B51-8A13372010B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5546014-7ABA-4DAD-B4E6-CEFBAECC863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EFDCB17-19E2-4185-935B-60E68A49C9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843C721-CBB1-48FD-AF5F-B2484D1DA6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4A1AD76-96A8-48DE-AB52-D852F81F7C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8FF8F23-52CE-4C60-81E7-1D52DD2A145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A1D940B-D3FB-4618-A436-A2F2438F8F6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5D44B31-A0C6-4F4F-A1A9-B70F4D169A1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1EA28FB-531D-4BC1-980D-6520547D65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66F29FA-A5D0-45C5-B450-C0D316E1A3E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D478213-04A4-43C2-97FC-8AF3187CFD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BBCA087-9080-44F6-8FBA-02C9A3F2A7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07FADF9-5993-4A92-993F-064C8E98605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85E266E-B078-4D06-8170-31E81EFD5B3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6E31741-B9F6-40B7-9DDF-F6311A083E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B387E58-443D-4830-B967-EA42C45214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6806CEA-1ED3-4A47-AD28-EE45CEE879A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7EB00F9-BBAB-4F53-B74E-19E9A97602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22C8236-8A9F-4DE5-925F-3D59A67AF6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96FF866-DC81-4803-AD3D-B5CDB839EB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CDA5F48F-DA3A-4442-A767-42E46E99D9F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A078CA7-1DE9-4E17-BA6F-83356B1C9F7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E6134C8-509A-4E45-9EA6-CAD06E08A6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38FFEFE-1071-434B-9D87-84845F9CC1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8A5A9CE-392A-4D13-9BD8-7EB965A216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6F4C876F-34B2-4C83-9A41-F647A930DC8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95CDFE7-FA9C-49A6-AE65-3A22773432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7665020-6CDC-4300-A3EA-16E4260ED87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AC9D73E-1BFD-4A80-B4A5-BE68A5F1F0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BCD83D1-46D3-4003-96F8-64B9AEEC6F6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9939E72D-AF5A-49E4-925B-5DD257A75C3C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449A086-53B6-4330-B83D-E2A2F4331C25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13ABEDA-2B81-4676-88CF-120DA7259257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3E96896-00A9-4943-9A01-68E1EC1368A8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692B661-0BDA-40D4-A257-97382A435831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67D3AA8-EAA9-4EE7-B5D5-3A59F2EF5D92}"/>
            </a:ext>
          </a:extLst>
        </xdr:cNvPr>
        <xdr:cNvSpPr txBox="1"/>
      </xdr:nvSpPr>
      <xdr:spPr>
        <a:xfrm>
          <a:off x="14106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5E59CAF6-C847-4423-8BF7-6B6E0B7C65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412E36A-A0E4-491E-94C4-AE0F4E8A08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94824EE-5DCB-495B-BB8A-64F4B5D90A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10D0AD4-B01A-4EE4-BF00-44108D713C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8978A95-AD13-4B65-A9B5-28FD098F9F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4745143-A3D7-4C14-8F10-15023AD897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69FDD74D-EDDA-44BE-91B6-4113FFDE1B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3480DAF-39F3-48F4-AAB1-0352BCA37E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312EC16C-019A-4106-89AB-4BF54B5756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A44F64B5-424F-47B9-ABEA-165632B0CD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39BD76D-DD6E-4C33-A2A9-DE4A831AE4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763591E8-8296-4F12-802A-E501108ACA1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64D422B-A89B-4D1D-BD3D-1E15E20732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AAF907D-A6D1-4313-8B8E-267F794881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102CDD5-0B03-4515-BAA7-2303D950AC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722A7FE-9F35-423A-878F-CE66DC70EF7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4DD73F20-9570-4E2E-BD84-338F44E329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CEC0967-EEB9-44B8-A23E-2A52A81756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464634</xdr:colOff>
      <xdr:row>1</xdr:row>
      <xdr:rowOff>138781</xdr:rowOff>
    </xdr:from>
    <xdr:to>
      <xdr:col>9</xdr:col>
      <xdr:colOff>845634</xdr:colOff>
      <xdr:row>10</xdr:row>
      <xdr:rowOff>76626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93BAA1F2-FFC7-4B15-BA4A-76D2F72367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244683" y="324635"/>
          <a:ext cx="1784195" cy="16105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0DA9BF-45FD-4F6D-9B2D-A97581183B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B207B9-81DF-40D7-90A1-0F530029E0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1284AE-717C-4A3E-A85A-12450CD94DB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6F89D1-4E14-43C4-8AEB-9454DA61AD3F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D46252-2724-4736-8D29-E8EC69629320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23E9E4B-7097-44E1-904B-29B82CDA3F6E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86B6F3-769F-4E2C-9EC9-16BB2FD76D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B8E7FA6-1472-4C51-900E-92426F8B106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455ECF1-9911-475A-A4CB-F9C05B2A53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8910DE8-C586-442C-9112-AE78DF78F8BF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E5827C-54AD-4442-B15C-BCAC877AF5D9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4F15A08-C35A-42CE-85CB-943E711DDFB7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05E0D00-94DD-4268-B175-867FBCE8B73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F77AF82-800A-46FE-A4B7-4A5DAD1C30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81026C3-8295-41BF-9BEE-29B970BDD5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4F58161-9362-48DA-96AF-2C2EF4C9D378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C9CF46D-2284-456C-8D78-8BFC42CEDF98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8ECEF98-B6D2-4F74-851F-F89706B4D072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80A0A75-B88D-4E6F-B53C-E311E8F841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F1DA27F-009E-4461-BCB6-840284634C5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F6FD365-E4A5-4F15-AF1C-07835E2919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9EE7710-640B-46FA-89A6-65C6503C25B9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B4AF9A3-EEC9-4EDC-8306-CB0AF5469821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38D472B-29B0-4C21-A69A-4797480898EB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B676691-E6B2-49F7-B681-A181F90F40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0DB914D-6449-4E1D-AF6C-B39A942F58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47AE63E-42F5-477C-95E1-0748461EC98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4E13BFB-CFEA-4EBD-8DC9-40AA63749E13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1151EB5-A21E-4FB4-8BE4-B8248B1E393F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6BC6671-64D8-4100-883E-7AED17D6877E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97ABC54-638C-42CA-B62D-88A55A60FF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26AFAAA-3F81-44E8-B80A-C8F2B01487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E3FA79A-CD57-4561-AD8B-A2D7E61AF1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6F44064-4458-403E-A261-314EC9C2757D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A281536-7CF0-40EF-913D-083CEB9D4085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83435F-DE19-495B-AC06-8A1BA2A66E7C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8ACD3F2-F1DC-4C4C-B08E-DF4CCE7BCADF}"/>
            </a:ext>
          </a:extLst>
        </xdr:cNvPr>
        <xdr:cNvSpPr txBox="1"/>
      </xdr:nvSpPr>
      <xdr:spPr>
        <a:xfrm>
          <a:off x="14487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82FD94F-400C-486A-A28D-59AF7050752D}"/>
            </a:ext>
          </a:extLst>
        </xdr:cNvPr>
        <xdr:cNvSpPr txBox="1"/>
      </xdr:nvSpPr>
      <xdr:spPr>
        <a:xfrm>
          <a:off x="14487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3F1A920-9FD1-4806-90DD-43E2B9AE0DB9}"/>
            </a:ext>
          </a:extLst>
        </xdr:cNvPr>
        <xdr:cNvSpPr txBox="1"/>
      </xdr:nvSpPr>
      <xdr:spPr>
        <a:xfrm>
          <a:off x="14487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DC8C730-1A02-48E2-B287-2696319F9B22}"/>
            </a:ext>
          </a:extLst>
        </xdr:cNvPr>
        <xdr:cNvSpPr txBox="1"/>
      </xdr:nvSpPr>
      <xdr:spPr>
        <a:xfrm>
          <a:off x="14487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E852AE2-DC74-4835-A8ED-E00D9E163639}"/>
            </a:ext>
          </a:extLst>
        </xdr:cNvPr>
        <xdr:cNvSpPr txBox="1"/>
      </xdr:nvSpPr>
      <xdr:spPr>
        <a:xfrm>
          <a:off x="14487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20F2E6E-7396-4AC8-B05E-458A1E6E87BA}"/>
            </a:ext>
          </a:extLst>
        </xdr:cNvPr>
        <xdr:cNvSpPr txBox="1"/>
      </xdr:nvSpPr>
      <xdr:spPr>
        <a:xfrm>
          <a:off x="14487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2A1F490-200A-4104-B091-E8AD1177766A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EF88BB7-7C4C-49DD-8FEC-AF18FDEAE2C7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7BC135F-E89B-4CF8-996F-EA4601B6DAA4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4FA57DF-501B-4205-9233-2D18FD342772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8DFE4A5-D8DE-4543-855A-11BDA02AE314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2A1AE6A-15D5-4C40-917E-C8FCC2E41959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9348A45-C94B-4085-B5B3-DA9590B55C3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AADD71A-0FBC-49C2-86D8-0B6E1B58BD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C868ADC-F109-4747-BB9B-5C208A5F22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304090A-E912-4083-AED2-B1BD2A1154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675D34A-339F-49B5-B381-BBE951E33D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F230192-6D41-4D7E-B156-179A917700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A824731-0BA5-425D-BE69-21A8FABFB77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BF2E295F-097B-4363-B657-A16E66A019B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673729B-4A33-4075-8331-67630437577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3CA5EC0-2B3D-4FB4-A4E1-98F024B194F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CE3A82D-61C0-4C7C-9718-B375ECC0A6F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FDC3626-9914-4E69-BA3A-0DB98985DD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310C58F-6AB4-4F55-8784-FB1B585752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41F8613-C0AF-4A48-9EBB-4545FD932E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77015D4-4837-491B-A946-F7D720F8DC4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76D251C-0E20-440F-B277-B9127604C9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4FBCE11-340E-4C9E-B724-76856E6E770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CFCD23-BEA4-4582-961B-442EF576572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29D7E55-9F74-4DD7-8394-480AF61D0DF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DCF92845-471E-46B8-A259-6C1FF1454CC5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E877294-E65C-40D3-8CB7-D5E845AEFF13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8C1C9A2-FC7A-4347-92C0-25F0ADC810E6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6740EBA-5805-44BA-991D-295E29AFAA3D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99BCB64-1A78-45BA-B9AB-40175F43D29D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3135858-576C-4617-AA8D-DEC3410000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5A9B2A4-FDB5-44C9-96A1-62E3A7E2EA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A2627E-CACC-440B-9807-FA6F457800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A2FDD68-46A2-4A81-B593-EAE98F8D8D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521437D-0555-41AD-AD5D-614D742B5A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BD7D313-1F5F-48A7-BE29-2EA35DF15B7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DF2A6992-2FEA-472C-875E-7790625192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39B866F0-FA47-4483-82EA-1F2030922D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1FF9A9B-823E-4E39-A25A-A36FB7D9C4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723089D-3CAE-496E-9774-63877AA5DF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6BA39CA-6CC0-48C6-97C4-4FC1F9B6405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9FB2B0C-6FB6-45E5-B57F-2DF449328F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A01BD1C3-1D61-4BA7-A186-5351B493E6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A480DA8-E5C9-4BB9-AA3A-AE9EECD17D4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4D1004A-2A94-4A09-A7F0-AEC24D1BC9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5CA9644-706B-4358-AC78-58A10E096BD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787A3AC-7434-443B-845B-FAB74A4B94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1F8B65F-5F23-44C3-A52E-6EF8A93445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4AEEDE0-8D6D-4572-BF93-8EB7F0AF33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42A553C2-A6AF-4F1D-9F3A-54289D2F3B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B67B8B1-CB7C-4CB2-8206-973087BFF8B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D12E1832-2BEE-4EC8-9A6E-338896D1FC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F51349E6-762D-439C-BB91-77B19498B2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B603CC6-0CC4-401C-A25B-EA883C28BF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FC101281-E0D3-4A7C-BEA5-6EF1BCE71E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94F35C50-5909-4C2D-9339-8A4DBEF679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A12FBC6A-DE7B-4049-9414-14598DE3F4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875A4343-9BFF-4957-B6A8-7B5BD2868D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89A7C45-A874-45A0-801F-80D5A4920E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BA110BC-E653-406C-A498-0213049CA1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DFD9A19A-32F4-4D87-A836-18FB0CE17DD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95B9194-4B8C-421A-AC26-A364B831A1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B7D0A5C-8FC8-47B1-9921-5C4320431F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A2F3198-51A1-48AC-ACC6-C6A8F36F1D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60AB620-C26E-4A48-9E1F-66162DA3F4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DB5C618-935E-45B7-9070-10A2E56AEE0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7A9D57F2-A6D3-4257-BBBE-115399BDAC06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B7C972A-109F-440F-9405-80336251F065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F27A8CF-2073-44EE-9257-4F570F5B3667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9A3154EC-6F81-47EB-8F5D-A830C342CCD2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64986D96-9393-47B0-BD4C-25C4BE014915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4DD69276-B5E2-46CF-A5E3-C0536EBD1BA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E7391358-590B-44FD-AAE7-345C770F4A5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C7340F19-CA3C-44CC-B9FA-67BE2DD5E6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CC94F6A4-92C2-4246-B55A-B2AF0C6FC4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77141195-81B5-4BC9-9997-F467B7FDC9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BDCC6941-9C59-4154-833D-B4E323293B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95EF277-A77C-4E26-A507-701E4C24F81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7EED6EA-4E1C-47D1-8886-675EEC3434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B80E0748-A61A-4366-9F8F-7C42666E6C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D122BFAD-A6E5-445F-9400-9612301FA41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46AB441F-15FE-474B-ACA6-1B2364ECEB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F46492C7-55DF-4B0D-8981-D87DFAD3CCF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CD878550-8E27-4280-BD75-19F74131445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B048563-F215-464B-90A9-C9490AFE4E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7C1F7454-D5B6-4FBC-AE54-6C2F2FD26D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8948E2F4-5908-402D-9F2F-D9D74AF67E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A4745C4-FBAE-478B-A42B-A452042D972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E3B883DF-3CC0-410D-B0B3-04E5136A55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99630B96-74AA-4ED9-8A7C-B1E43FE393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318305</xdr:colOff>
      <xdr:row>1</xdr:row>
      <xdr:rowOff>22316</xdr:rowOff>
    </xdr:from>
    <xdr:to>
      <xdr:col>9</xdr:col>
      <xdr:colOff>771647</xdr:colOff>
      <xdr:row>10</xdr:row>
      <xdr:rowOff>122972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7B01AF8D-9A3B-4FCB-87F6-75B688DCD6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462533" y="205582"/>
          <a:ext cx="1938760" cy="1750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88D1BA-FD1B-416C-9D5F-6F7647B9ABF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20ADD5-3E6D-4CD4-AAF0-15B82313DB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9B06F8-1CAA-4D83-B068-93622CFD97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57202A-8D92-4F94-A7DE-4C4E0A8B48F7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04DD000-927E-4140-8FA2-44303489293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A1C925-A187-49F9-B171-B3028746482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B2D46B0-DC9F-44DD-83C3-6C9A6160F0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DBB37E4-5279-495B-8DB8-F07B235B74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363B5F-92A9-43DC-8681-E3E76AE53E9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CE9F7CE-A343-4A95-A882-A135DBA3FBB1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B42A12A-D764-464F-8EEF-71A607D24716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C612E05-561B-4A00-B00D-8D7B207E8200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AFF1779-8275-4FD3-B05E-E8668566F6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C987050-7E35-47B4-99F2-7FAAC15555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3C2EE59-A20B-418F-9110-C38ACB9761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4031390-239F-4B59-8B25-CC7475F05E92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9892A92-F7F0-40B6-BD85-DAD9F5AE3298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58D1D4F-7E1F-492A-BA37-D6BF60E48BB9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782A28E-59C2-42D2-B6E0-BDEF1A7F24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C9B893B-9A77-47A4-BEEF-2B7EA65A3E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9BB607B-FF59-4B63-A4B0-2AEC633D27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24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FA824F5-D2D0-416A-A22B-9D0E8501C02F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24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9C46E9E-E905-41FB-88AE-D96A63928EDB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24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F91CD38-129A-4EEC-8421-FD338EAEA85D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1B03387-F4A6-406B-B404-E8B3C95A4D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0E085EC-A13F-4F30-94CD-04816C9BDC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AB7034B-815F-41FC-958F-2726B1AF654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5C08086-4B90-47E4-9157-238333ABAD5A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6078CF3-DA28-4848-B84A-62B1743CE920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E09030B-9187-4F38-B2F1-5B697FA66C27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7F1C3C1-24FD-41DE-8C95-F2D5C8C068D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2CEFB97-5C41-45CB-95F5-EED0BDBA3D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C82F8F6-4168-477C-AAB2-1990EAF918E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24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3643290-0522-407E-A7A0-DFD8AD3F3F7F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24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C33A752-2D64-44C7-8F41-D5CD6A4023EB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24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0120DFD-6BD8-4EE8-9445-5AB5FD2E9654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7F703FB-3F93-4AF7-B8D1-AEA5F68FC6E6}"/>
            </a:ext>
          </a:extLst>
        </xdr:cNvPr>
        <xdr:cNvSpPr txBox="1"/>
      </xdr:nvSpPr>
      <xdr:spPr>
        <a:xfrm>
          <a:off x="139827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571751A-A340-4C3C-9B9F-95BFB07898DA}"/>
            </a:ext>
          </a:extLst>
        </xdr:cNvPr>
        <xdr:cNvSpPr txBox="1"/>
      </xdr:nvSpPr>
      <xdr:spPr>
        <a:xfrm>
          <a:off x="139827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00C3307-BA0E-4CB4-923B-1C3009288292}"/>
            </a:ext>
          </a:extLst>
        </xdr:cNvPr>
        <xdr:cNvSpPr txBox="1"/>
      </xdr:nvSpPr>
      <xdr:spPr>
        <a:xfrm>
          <a:off x="139827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F35B917-B92B-45D9-913E-7A4D29017190}"/>
            </a:ext>
          </a:extLst>
        </xdr:cNvPr>
        <xdr:cNvSpPr txBox="1"/>
      </xdr:nvSpPr>
      <xdr:spPr>
        <a:xfrm>
          <a:off x="139827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1A99309-1FDE-4F44-831A-580B36E6C02D}"/>
            </a:ext>
          </a:extLst>
        </xdr:cNvPr>
        <xdr:cNvSpPr txBox="1"/>
      </xdr:nvSpPr>
      <xdr:spPr>
        <a:xfrm>
          <a:off x="139827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F43A0B3-9C1C-454D-B3E9-C8C954A861D1}"/>
            </a:ext>
          </a:extLst>
        </xdr:cNvPr>
        <xdr:cNvSpPr txBox="1"/>
      </xdr:nvSpPr>
      <xdr:spPr>
        <a:xfrm>
          <a:off x="139827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24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876631D-2E07-44D2-B227-7A3904DD3939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24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875C103-14D9-43BE-AD79-218CD483D8B8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24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C73E6D6-70CE-457E-AEC3-2498DE271F08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F9601DA-6BB9-4428-B41D-70DEED1DE954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F17604C-84C0-4B9E-A80F-F126F1EA43FD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0FF0A8A-A108-499F-A033-F8FC12F690DC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24F5FA1-DBB7-4AD8-9302-FADE9671C1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710E73D-8C77-4F60-A902-1879F77C0A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2C7C28F-3034-4398-AF7E-36404BD6D8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8A0B2D1-65C9-480F-989A-E16A1D993E3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32F46A1-683F-4BB0-8B0F-FE185F481A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799375D-F24C-40DC-A98B-899B9F326A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A8E46ED-3490-422F-A527-9D6552FFC74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6B7CFD7-E1B2-4692-8A20-661E7D8A17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9A40541-1C68-4619-809E-EB5E58634C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B426A42-5C03-4317-93E9-D06A6739A11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91A7DD4-7E45-4A27-91CB-30C25472213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BB1061F-05E6-4CE5-8A04-CB408676B1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315DBA6-B162-477B-90C8-CEC8274570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E117AED9-7894-461A-83D0-51A6B67FFA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F1E55C2-9F80-4C4F-9350-68CBF99B91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68126C0-E256-458B-841A-70C131E1662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A61DE30-CD0D-430E-A8DE-FD63F690C5E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19C6A79-49A1-4C40-B69A-FD1464A10F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7F9C79E-C87C-4C1C-A883-4032FBBF928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693D758-2909-44FC-B040-48E75CA10A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36009CD-2ABE-464D-ABA7-0F776A65CC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2375EF3-975D-4759-AB9A-0A16A0C245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D90AAD3-1DF9-44B3-9397-F1277A63BB1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FE18969F-B582-48FB-8CE3-02FFB5236E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EDE37F1-A6A3-4F48-B3ED-AF1E77FCA4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E962DAE-C99B-49A1-A5EC-FBC34133DC3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91ED9B92-1B88-469F-8C93-E241FD8811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9DE0E869-D01B-4FC0-BA16-A0A09CCB50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E51FC2D-97C6-44D8-9DD0-DAAC425A85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A03891A-1464-405B-902B-DD756CF11E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323E534-E378-4692-B864-E738F5E6E50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3B1C6C19-FA1F-48EB-B040-9E53C7B5BF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EBE04006-704E-47AE-90EF-43E50959F1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D69E8F2-2DBC-4A8E-9C21-62D055ADA13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0A109E6-9DA3-45A2-A977-A1C5703692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63DCE41-5533-442F-BED2-E94F3A920D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AC6DD54-0549-4402-8460-6B02565B3502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EA02DD0-7375-478B-B93B-7CFC6863E607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73F5EA8-71A8-47B4-B2D9-F504947B432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52E8FB3-B227-4019-9D8A-18859F3D0048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BE82648-D304-47E2-A600-0B08496D3A4B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4253EEA-612A-43E2-9869-BF619B8A6858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8CF469E2-7D2B-4C01-838B-BB5F22D196A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1AC7D58-D4CD-4AD3-B654-BC9BA0FF2A6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38BDE6AE-AA08-48D9-B73D-3C0F4B693E7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56346CA-774D-4223-9E23-A44E6E7D8F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666A363-599B-4375-A854-49EE89B17D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14970DA-6808-4F14-93A7-4F2D4798DBF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7023CB82-AF13-4D66-A518-BC5B940CCC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9A46113-599B-409F-ADE4-D97742B22E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A8B1D0B-E5C7-4F62-BD9B-4B04034A55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FDEBC7B-4531-4857-A08A-4D8CE1BC5F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EF19D16-A773-4EEE-8E12-AF71C2104A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7A8D1B3C-BBA5-4F40-95EB-265CF00B5F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F8DE83E-68E5-4C01-995B-8C321F450EB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1230ACE-E7F8-46CB-A941-5A1E317495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BE1DE07-5F60-4BAC-91F7-9A578944651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DBD3F2D-42A2-4387-93E9-5E9FE6E7812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C0B94B5-64EB-48F2-B731-D0BD9260D55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98E9114A-AC0D-43AB-B0AF-BDE645D6F1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195D1F1-A752-4D6D-B1B1-5BE5BE614F5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E3B0477-02BA-4DD4-8102-240DABC0B280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F0CEAE9-5C7E-45BB-8A4B-4DCD0F34F5EE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47C6742-D653-41C3-96D1-705A33B4BA1A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650A855-304F-4DCE-9F44-302F0E1FDD17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8D0B238-ACF2-4F32-AD4F-07CCCFAF9367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2C5CE47D-4550-48E7-AC9D-94BF26AE553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8F677E6-C9EE-499A-8AD7-66FD632C512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5FEFE00C-84EF-48D1-997F-F3487ED8D1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4A90AA3-0EAE-4A54-AB0B-2A36F398F6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85861012-23EB-4C48-9AFB-1FE8C0B750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5A4B0042-06C2-4F31-A6AC-5BB32AAF90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51D11E7C-B49A-4567-9E1A-EBAB14A494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46DE9F5-6685-4E20-9BF8-B45DA0A991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8450DF84-9141-45B7-A118-0BBB432A73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6D8F796-022F-4CF3-A547-7A9B2562E4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92B90F8-05DD-47B4-8CB1-81C92CB6DF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33CA7D8-56CD-4E49-B947-B543D392B3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DDB5E0B-FDE3-4F19-AB2A-397476F17B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EAD5343E-9912-4501-9856-D361390E1C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0EF7BE1-6489-4197-9B91-37AE5C50C45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4F48425-E6BC-41F1-8E42-696B584233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C74B6498-46D2-42B7-967D-6AEB8C55E87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DF394BF9-46E7-40BE-B11C-832FA7ADB7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037B1B9-532A-4892-8668-FDB158BE02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ED919046-E1DA-4941-99EB-9006A41F20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CE236DD9-125C-4C3A-A1FF-3318F7B51DB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576386A-51C7-4656-871F-6D9C00CEAB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FF1895F-EC11-4709-8D4B-203BB78730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71FB993A-B1BD-462F-B5B4-C68152E62F6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4A03D86-E874-4AEE-A54F-0BB3F30EC0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66E5BC7B-2F36-4EC9-AE55-FDAB5A896E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218B6FB3-9979-4DB4-AE88-D174144897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AAF4FE3-DB33-4225-8426-A3C1134BA3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DE05F099-60F8-4C2B-8633-2D5C25071A2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9E71C7A-1331-4F0B-A5C9-082A4132B8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6D85A40-DA2F-4A22-8A81-5544B365D6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24EB56CD-FA3A-4EF4-8B73-0CC8A1138AB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89E3265-4FB8-4814-BD41-06E8B1079F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EDCF7EB9-3A1F-4C76-9AF8-E91897D5D2E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B57B37F9-CCEA-4119-85A3-C222F1751F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B267C555-CF07-462A-BB51-B0EFC2E3C7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429D79BF-2345-4A63-9F26-2074C8977D5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E9A3093A-B126-4955-A06F-CE3717D345F2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2906FD0-8A8D-454B-9CE0-9843EA4AF89E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5AC6D5CF-14D3-4F01-9059-59A361F787E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7A9C9B5C-CE7E-4C25-9E0A-C3AE4B0C127A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B9F1C402-F749-4B31-BD69-D44DDA5B1A5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298AA1B2-0F94-4D1F-A42C-C3897F649E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19C413BC-9522-491D-A8BD-1CFE83E4AF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104A8AA0-02FC-4B90-92C3-5FB0DF1DB0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BB4D0EB-3002-4342-95FC-5682C1F552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C6AC17AA-6B33-4126-A64C-E901FA39B0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5974AE9C-2315-45A0-8BFC-BE92CC00B3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E6A4B1A6-CAF6-4955-A29E-781E6FC2D36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A5AFB26E-63C7-4140-8E79-43FC1BBA1D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B1FC67CF-C168-44D8-AC34-B693D97370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6DC1A2B9-C858-4000-835A-AEEC1C82D3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DB28B7EC-DD72-4CE0-ACBB-7454F0F6A4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49121184-C68D-497F-BC04-CBCCB2234E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77054C5-103D-44B1-A57E-9856FB051A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A2E3080D-A5B1-49CD-A5BF-03F1CDB431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1914AF12-9B0C-4CD8-9AE3-2D78D2BF2E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222EBBC7-864F-4412-96E5-5120CEB2E8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9CC79404-8DA8-4240-A5D9-EFAB685243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2DFAF119-5269-4E81-B612-8B2A66CE3F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195149</xdr:colOff>
      <xdr:row>0</xdr:row>
      <xdr:rowOff>55756</xdr:rowOff>
    </xdr:from>
    <xdr:to>
      <xdr:col>10</xdr:col>
      <xdr:colOff>4793</xdr:colOff>
      <xdr:row>10</xdr:row>
      <xdr:rowOff>30164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F2A17A2-92BC-4EA7-B07E-7CF3063BEF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569929" y="55756"/>
          <a:ext cx="2030596" cy="18329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1C43E-A220-46ED-AF70-FFF88E5EF0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BBBAC-AA9E-4724-AD67-233844124E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9A1E6D-63B4-4693-976F-158742C5E5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C15E7B-8BDA-4D30-99DD-77D0A4FB88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F18B338-B798-43AB-AD43-2C2C5CA5E4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A0B8DD3-B1FC-43B5-A104-1DD131CA93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B9DCFBC-5501-4B5B-8DC3-7DA6EF8C3F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1CDA01-FBF9-4C44-B6CB-1A335DEFE5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6354DF2-70F7-432C-8BBE-A28C9865DFE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6BCB3CA-E392-4653-99E8-E6B1149597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BBEC993-C2F0-4561-9DFD-41FCAECB59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172A678-B0FD-45CC-8BCB-91BB228637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B9D13CF-FC91-4630-8EED-1B1001BB46B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0017904-E5EB-4620-AC77-A933458762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7A37407-A14F-4EA8-8EF3-9C31159E59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F292412-F088-402D-A1F9-A3F55BE8F0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CC9AB08-6A1E-4521-8147-92FF55A5D7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9400316-CE6A-467D-9491-CC0E9CE6B75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F4AEECE-0007-4892-9949-F42D88ED7C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DAEFEEE-57CF-42BC-B10F-EFB6F2582D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A2C0DD4-04B7-44C7-BCD0-D2380E14C3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35392A7-7C38-4662-8A8E-9F02CD5D5BE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C5D87D0-FBA9-44AC-BD6A-CACB5F3182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C2326D9-48A0-445C-93C5-320573C9C5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B5F110A-9393-4148-90ED-CF1F6FC012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ABA3069-2E1D-411E-B226-048F71960B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965314E-67D0-4076-B665-3A2DC6F7B2E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AD69A6C-7C48-437D-AA80-E2BB57FEBB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BDB6154-8633-467F-B4E0-82C5276CDF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1637452-0F0F-4B76-863B-88C15362EC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1BE970E-4EBA-49E4-AC06-035487C115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B7ED17D-5175-4578-81A3-A49E2883F3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F5B4651-7C17-4FA3-AA54-F9ED23D5FB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78A1FF5-D7B1-487D-898B-1C42CA5A16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7A13F8E-4D66-450B-885F-CBBEC2ED08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84FD09B-BB86-465A-ACA4-88376C2218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9643168-E278-415B-A327-0E9C9B994A34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063BCED-9AEE-42A7-A67D-19BCE0980309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FE5E327-9036-48CA-B66C-3850126699C9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15F7D3E-40A2-4524-A43C-92C56D81481A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35E9F12-1E5C-4C1E-A395-6299DA1FF8F2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05EFB18-3833-4F45-BE85-8111FB18F311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5857503-5215-49ED-87AF-346995A68A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5A2DFCE-E45D-42D5-AF96-946DA2010A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4B15B4F-F862-4180-B194-C4FD2E24FA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B4CAEC2-EF80-41F9-9B5F-F4A8A46CA3F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B355353-4AD0-402C-B3FA-AFC4AE860E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B81050B-4677-429F-A64D-88A68136C8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AC7905A-2046-4628-86AD-854244BA4D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91E3BFA-9A6C-4A02-B627-A66B17F754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3620A4F-0568-441F-98C7-3F9735EB957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469E06A-1E55-4DA6-A028-7F91CD60D8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B7B2C2C-0F7A-4B5E-8467-2ABA21D438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099485E-C77A-4E91-B969-9F96B46E2D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8F98963-BF08-431E-A6E5-10A515740C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6F99E6A-07F8-44FC-B082-3DB9B7D73EA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BD13D4E-D29C-4751-840D-A7B211098F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2F3ED8F-6242-4A64-A2C6-BACDECBA1A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EA2508C-822D-4D86-935C-F524DD451D5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BD944E3-6CEA-4829-9DE7-30451FCD262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3685BCF-9C38-402B-920F-289E0C9861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1D0EB32-F95A-4E59-ACEA-CBA83E27EE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C018A09-862C-42E3-B947-4E8B9A8AF2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95588A13-650F-4DA1-98E1-076D742EDA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2487010-D1E3-4DE9-8128-99A20BE26B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84FEF21-B412-4E81-A89F-DA3B7DAC906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C0B75EC-9638-4464-9F2B-15E619D7AC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7FDC095-90BB-4DA9-8ADE-B1E6EECFED5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D00B6A8D-DFCA-4384-8A68-E926FD936E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6F925B0-AB5B-4C04-A6E3-AD759B0CE49E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E74C8F1-4F34-4DC2-9D0A-08A148C45EAB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177E7FC-7D2A-4B6A-B1C5-4F41F527A38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018FC2A-F45E-4C58-B243-AAC2425D92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88A4DAA-B08A-4A68-9424-DF8E671133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B181085-9D25-4576-BC5E-0E62E3221DB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89FBFEA-80BA-4AA0-A212-F27530C26B31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F59BD9B-357E-4237-AA87-3598BD0133A1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5512AF9-8646-4AD3-B622-3DAA38FE767F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D83A4EC-28E9-4FCF-A3DF-361434847F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8D12228-C223-42DD-AFCF-397CD9126C0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0F5E018-75C9-432B-851A-8BCA8A40A8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DDC545B-9CB1-42F1-830D-59C8B9DC6370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D29B28AE-97CB-4702-9BA1-0CB5880D48CA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7F84309-BC84-4A71-9CBA-9659A7E074B0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C2C96A90-3F6C-404E-A61F-304701B90C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3ADA201-5503-4508-B131-D5D51E4DCA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E79E4A3A-0670-4253-A2D0-CDAFE11D98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1CB5CDA-BFC7-46BF-A82D-149FCECD6C7B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4D8C467-461D-41D1-AFE1-3801F6A8CAE1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CE1D92B-646D-4806-BCB4-43A805C5C923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0E9B5FB-B543-4203-A4CE-E8EDB1642A1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5B9696B9-B3B7-40F9-B303-896FC0E7E85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D95B64EA-9250-4277-B97D-76F92730A8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D55AF776-BCA7-4D5A-BA94-C9A203FED76E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110C697-6100-4915-99E5-681B383451B7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3D65951-83B8-446A-9D7B-2F57E1BA8EAC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2064DD3C-85FD-4838-A273-A806CA67DC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2B066EF-C801-4F91-B698-E93C941B8D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0619C8E-5811-4934-8606-A552208D47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BF6EEC1-8ED3-4BD4-BA9E-053A0374CBCE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FABA6EC8-1F18-49E3-A930-6661B763E1AE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F4AB4AA-6770-4290-A48F-651B7A4547CA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2943B1B9-9C13-442D-8219-B310DA48F54C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35E9A07-F9B0-4FDC-BD43-8E1EC627C0C5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4538E74-6881-4074-BB1E-ECD40BAC1F40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FD2AB9E5-8874-448C-9F50-08685AB82D7E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AFF70D39-E3DC-46D8-94D2-B5A161FC9FDA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1A07EC6-CEFE-445D-A7BF-4865D3F9F351}"/>
            </a:ext>
          </a:extLst>
        </xdr:cNvPr>
        <xdr:cNvSpPr txBox="1"/>
      </xdr:nvSpPr>
      <xdr:spPr>
        <a:xfrm>
          <a:off x="146970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35EAA835-529E-4940-9C7A-77354F7EDD35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496ACE2A-7CFE-4658-AE65-5D8DACB9DAB4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1E0A415-A103-4F70-99B5-0027C9D9A37F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1C4AD53-714F-4E42-A84A-4E0A0703B5BD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4E94715E-FECC-4A56-8856-B2EB2E53036E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484F7A5-D04C-4671-837E-08A18AC05087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4ED9610E-0E5C-49F3-BA6A-4AEAE295D7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AC169315-BC90-46FE-8FAF-83AA233684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62E8C71B-3E55-403D-820D-0A8BBC8718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3C59F97-0B73-4456-8395-41EE2DB39E1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AB32C46E-3491-4285-889C-4A31B09FAA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C052A1B7-D609-41C4-99FD-F138949208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A43736B-0F7A-4A42-B9E6-D07A342BBD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7C4CB97B-33D0-4296-A049-A858E218ED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9F411015-4472-42C4-87B9-631670D384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83CC477E-7BD3-4CCF-A832-05A6C0F8E89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5D204EF1-9D98-4A4D-A7DF-0D133F900F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D568AA8-7E73-4F9A-9B43-2E7E0518F6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27D42091-AA58-4F32-8C14-2EB9F1D3A98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29A4988E-3773-4D00-981B-A777BE3762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930DA3F4-9655-4355-816E-A88AA576B0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ECEF0DA-C6ED-4950-863D-CDB54C13D3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E947F81-867D-4CD8-9BFD-26C88CE4393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A0F0652E-C7E3-4D35-B2B2-7D6D1DCCCE6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8E9B75E-3F3A-4DF8-9D1B-BAF5FB634F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CDB1C996-9E0B-4995-880F-D5E43743D0B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4F98E3D9-035F-4809-9279-EAD4EDFFD0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84795EE-6455-4519-91AA-F74DA60917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BB690D9D-BC50-4A12-9367-0BB8E89A46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E2C9FEA7-1E24-4FD3-822B-CD2D1F0649F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40D561DB-8670-49DB-9877-153629C6A3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C8EB4022-C893-4406-80DB-2173C32982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ADA647E-A8B8-48EE-90F9-23F511AFF4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702A1C35-DD09-48E5-A506-0321F9FDCC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928DF091-C333-44AD-83EF-08EE2F076D0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994090B-2489-4065-953E-994B41AAE1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955F444-568A-4DF3-940C-3CD32D5715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67DD4DF3-23C7-46C5-9598-58BE921141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CBAF085A-B4A5-43FF-85FE-44DBA18FE8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3FD762ED-C545-4394-B337-F63B0417196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A09F0E22-56BB-4807-8F01-51B3C934E3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E85AD327-F06E-47BB-BCC1-EAC04FE15C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2A0BD105-0D0B-4F9C-9C92-1163908664AA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446CF7DF-A3E1-4CCD-8058-EBE7390C10A4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191F0F07-72A1-460A-85D6-0CE4F496938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DAFB0FF4-A5E8-4DAF-BEF3-0A7EF6FE8C59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EDFD03FB-69C9-446B-AFCF-1A1A20D6F914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58361D35-761A-4A71-A5ED-D4F9D0D3BBF0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CA55497-BA2A-4E48-B1FD-EF91CF2A6A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748B949-DA87-4466-B084-0B64F83BD2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976BEAEA-D690-4E32-BC38-9D03C58828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0F70741-B6B0-4DB9-828D-8FD4C5F0535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76FF61B3-37B7-4918-BD54-A2BBBD5CD7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24305B7C-952F-40B2-B343-32531399BB5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D2974FB3-9D31-4266-94F9-96E336B0C1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A214582D-42C2-4158-93AC-18ADD9EC2F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57A32CC-0E39-45E0-875C-510DDC25651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9D541BA7-BC23-4040-A745-1626F246A4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672DFCAE-BB63-42DE-9BB1-7CEC9A2221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5759403A-BDB2-40A5-B37F-D95F694F937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40B5D4CC-F3EB-4956-B895-B16ECA16B01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64118D89-F417-4D18-9D37-724D8399F3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4ECA107A-AB85-47AB-A4D8-3AA87F930A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8ABE05E-44F5-4537-A7B0-FA894C6F19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4A558F51-29F1-4EE5-8890-A086E5C3B7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B3C0A927-B30B-4D0F-9B93-1DECF4AA6F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67151A01-8A87-407E-A0BA-8B1411107D0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6ED4120-E581-4FAA-B2D1-F172FB7D72C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EE5DAEAD-3BB3-4D3D-825C-6310D65309FB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5CA9A99E-BE5A-4ADE-BC35-BA1C4C31F06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E8A2C13-5D77-47B5-914D-A3AB8EBFF9CA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97A7C661-7FEF-4473-83ED-1AD2050322EE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998C92E-C664-482A-B873-A3E6956385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EBFBC81C-743E-434F-B414-47D5F767815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87C2F29E-6772-49E9-AA1D-EDB3929179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958EAB2-F9D0-4A31-BF16-F207F2EDCBD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5DC7056E-6652-43B0-9CFA-6B4BE70FF6A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B28B445A-5E35-441B-BA8E-FFC306F03AF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EC13EB0D-9B35-4265-B996-112D4B0CF8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D8D838EA-F043-4D54-8658-B50707D09A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E18B72C2-4D08-4DB4-B356-77A2E68926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22AAAE69-E7AD-4DF5-8AA5-8B464AD1744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2D02B6D1-C1B9-4EA3-A760-0925774960B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FD0EA63A-E8AE-4806-BA18-DCBA511C08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D2B271DA-F86B-491B-9666-F5BFBB508EF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E117EA2E-21D0-4BDE-BDFD-0D75CEE9371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A40F09D1-511D-413F-9850-F1EB32E820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0DAD8B5-026F-4C82-AA0E-EF2A923461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69DFE93-6B80-42A7-851E-0178B727F9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20418A01-F204-4102-9E2C-7FECF9A4F8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4A316D8D-FFB4-4191-8BB9-C67370F378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FAE26495-3F2C-4A25-9CDC-9FC1CE4DCA5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6D05BA66-4494-4047-8DC2-A14BEA5E0D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B554884-2BEE-456C-8620-CC19C65254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EF0078C-F64A-4F3A-95CE-E809E1911C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3271A434-4E34-40E1-BDEF-D79374E03E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7E73A6CF-81F6-42DF-AA82-020E20400C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CE0F3F20-8D26-457B-B997-76BF09F064D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3522AB4A-E771-4F9A-990D-96711CF713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ACAA7953-B164-44F6-BDF8-FBEA1E8276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14CBCC1B-E1E9-4A4B-8D89-607C0B84A4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A73EF35D-F0C3-48FB-AC0C-9543C3142F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2ED2651E-9F39-42A8-8AA1-951DAEA6D2B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C3919474-3347-4610-9BBF-119881AA98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45264CB8-9392-4D44-B93C-0DD56CBABE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24F4A0C9-2C7E-4FE8-83D4-A073A3F778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EE3F6E25-00EA-4131-AF8D-C092A165BE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1405BA1B-8AE4-42B3-AAD8-2E96D75512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FFED33D5-26FB-474A-9C9E-FAA275E5003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A7EA807-B338-4F34-8CA8-B7498B723DA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9EB0F225-1888-40C6-95F3-D7BF698FC7E5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98E6D280-134D-4064-A988-80A4A8FC6FA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66DC0123-027F-4E72-A673-BCB14E177255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D5FC745E-D6D0-4475-982B-720460046B88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F2A6637D-E805-4A60-9DC2-D0FCBFB534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B011C9A0-756E-46C3-857F-B9E5150BD1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3F22D970-8C0C-4487-BC46-4DFA2E19E6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BE929E7-AFE5-46F8-A8DA-92E062F5B7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DF6A0F09-0BC0-4A48-BF12-74CDFA2A58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714007EA-CDFC-4D7A-9531-8CA8353251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F1744A0F-1470-4A8B-BB76-3B32D91380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E30D1180-A6B6-49B2-930D-9C6486438E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F71FFC8E-4591-4E8B-935A-DAB67517CF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A2FB126F-28B6-48A7-9982-85CB9FA27E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C772061D-A599-403B-B1DD-1621106F2D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9BF9C910-F20A-4E26-8F28-026FECB8D5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E5C9C6F3-6C0D-4D02-B10A-7A1DBF8ACC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A9973180-480A-4BB7-A522-4F6D4456290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257DC26D-92D7-4B85-B6CA-D0D98B792A3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1F828BF1-8871-43DF-9FC3-FD47D67CC2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1D837EFA-D690-42CB-8284-E796A88160E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3883CE07-F386-40E9-8AE1-6CFF4F6EE5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916782</xdr:colOff>
      <xdr:row>0</xdr:row>
      <xdr:rowOff>0</xdr:rowOff>
    </xdr:from>
    <xdr:to>
      <xdr:col>9</xdr:col>
      <xdr:colOff>595313</xdr:colOff>
      <xdr:row>10</xdr:row>
      <xdr:rowOff>180825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D62031AE-EB64-44FA-A0F4-5B8BD60DE5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584157" y="0"/>
          <a:ext cx="2178844" cy="19667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6FF51B-4310-4616-B0B3-3591DA23DD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230226-44AD-45DD-BCCC-96070746867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27E3E5C-F7A6-44C6-B93C-0F33FD3155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7E765C-7968-4F9C-808A-9DCEF83879BB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58DE1B-1900-49A3-9FF8-E6345913CD8B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1E8BAE8-30E2-4FAA-BD65-8B9276990D2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FBBD8B5-B078-47AE-B927-3441A1F8D0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8CBBD3F-AD33-495E-9EFD-989E8FC7CC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A92E73-803C-402D-AFED-06AE9CC9E0E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C329C06-BCB8-4A4D-A472-D020CA502981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26C20F7-9F7A-4191-89DA-B5FFBEB40137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48B044A-B45A-41F1-9058-307C173E8BFB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328DE05-825A-473D-ACC2-D269DCB0117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3A52E8E-74F3-47C5-9144-84011AB551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E8DA7B9-3ED2-47A2-93C7-FCFF2AB266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5E0A8E8-163D-42CD-A12E-F5C0EBE32915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5CA2BAD-D6D4-4DA4-99F2-E99355B2CAEE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001D71D-F55A-4917-A1D5-9220B8FF4390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15712DF-A0A0-467D-8C05-B09B97E0600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F431A81-9163-4ECD-B700-8915BE6313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D07CA77-E22D-4379-8AC3-36E2FA2B22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5F816D9-210E-4F7A-A179-AA7F541AA48B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0F93392-8BCE-4081-A501-A1926C6C6BA8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091C109-68CA-4530-B080-A9619BE0DBD5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94F6D4F-4EE9-46C2-85E0-6F0D1288D6B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4FB93C4-4904-464B-9C07-66BB0DFAD9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B40D198-7B2C-49FA-97D0-65745D8386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EE3C71E-000F-4A7B-87C0-4CBFDF4B2BFE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13094E0-876C-49A4-BD98-52656BFCF2D8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FB8735C-3B1F-468F-A9ED-ABA26FAC4AC0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CC547A6-8F78-4D01-A534-F389BFA561B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A7DD8A8-FC93-4D78-9921-5F346BE8C7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09A3EC5-856C-4E13-9524-5F79DDD018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CD14E93-4606-4A1E-9FCD-8ECCE2F894A8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B2F1C01-7047-4317-9D96-CE7E8B2FBA47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1CB4902-9ED6-42B1-B387-76092A8A9668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90FE64B-68FD-4614-8EE8-2DBB3DD761D5}"/>
            </a:ext>
          </a:extLst>
        </xdr:cNvPr>
        <xdr:cNvSpPr txBox="1"/>
      </xdr:nvSpPr>
      <xdr:spPr>
        <a:xfrm>
          <a:off x="14039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013400D-D1AC-4809-BE2E-B7621248831C}"/>
            </a:ext>
          </a:extLst>
        </xdr:cNvPr>
        <xdr:cNvSpPr txBox="1"/>
      </xdr:nvSpPr>
      <xdr:spPr>
        <a:xfrm>
          <a:off x="14039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35FF34D-D7B7-4636-8C09-74B59EF98B6C}"/>
            </a:ext>
          </a:extLst>
        </xdr:cNvPr>
        <xdr:cNvSpPr txBox="1"/>
      </xdr:nvSpPr>
      <xdr:spPr>
        <a:xfrm>
          <a:off x="14039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38A282B-2C52-4351-9628-C6B6C3882279}"/>
            </a:ext>
          </a:extLst>
        </xdr:cNvPr>
        <xdr:cNvSpPr txBox="1"/>
      </xdr:nvSpPr>
      <xdr:spPr>
        <a:xfrm>
          <a:off x="14039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9728B3A-8435-428D-9FB4-8FDB111D37AA}"/>
            </a:ext>
          </a:extLst>
        </xdr:cNvPr>
        <xdr:cNvSpPr txBox="1"/>
      </xdr:nvSpPr>
      <xdr:spPr>
        <a:xfrm>
          <a:off x="14039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3FF41DE-99FF-4447-A456-37DB98B3DE93}"/>
            </a:ext>
          </a:extLst>
        </xdr:cNvPr>
        <xdr:cNvSpPr txBox="1"/>
      </xdr:nvSpPr>
      <xdr:spPr>
        <a:xfrm>
          <a:off x="140398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E2D7560-5CBE-4C55-A4F5-827F36956168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ACFDBA4-D753-4B27-A517-27F60C8D3BD0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464AD48-981B-40BC-90EF-D653E3504C0B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80C453-FCAC-4766-9EA9-50A31A1A13BB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8355264-F236-4C0F-90DD-CAE7C668A541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E93FBC0-3F2A-40AE-8F5E-20AE2C7B0108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7598733-412E-4769-B9A4-CCBEB651035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B3FC29C-7828-49B4-B84C-A64D2AC95E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D1E70C5-3A59-4EA0-A733-D9F212AA3D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E0A1943-0F67-4A6C-8D18-12116A4AF7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C6A93B8-9AB3-4D9D-95BF-013A938191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B8278EF-7F29-4091-A06B-D0CA93DB04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F092016-FD98-46D9-B51A-D70DF1344B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A1D8A71-C6E5-40E1-9FBF-F223FC5996B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7319AF8-C0DC-4FC0-91D7-3BD7FD3A18E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64CF548-820E-4D8F-8595-928E35E567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5E79FB9-FA14-4BF7-93F0-3F39B10FADA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BCB7A35-6C31-4751-BD57-0D08D8AFBD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43DAA3D-B738-4BCD-AA63-90AEA47626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49D6031-61B7-49AF-951E-3F70D3351B8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2496A2B-5BD3-4E14-AB10-9F5FB8405D5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96CEB13-2945-48B5-A25F-8A461FE435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C40CD3B-D500-4559-86E4-7A0DE863FF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0956EB3-7C94-4213-98F0-7BD4823005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771BF14-D3C5-4F6D-95EC-114411BB78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EB63FC9-C276-45A3-9B79-69B179E823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EB91571-7F6C-437E-BAF2-01A7647C2F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5836340-9CDA-4ED5-924F-7FB5551F1B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CAB4C166-387A-42E5-8180-89683C047F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25BBD46-AB52-46A1-B98A-6BB5584F5C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AE425D8-8947-4BEE-9B2B-CA58EF7D80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E3CFB38-725F-47EC-BD76-A0747157220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E46BCCF-351B-4D5D-88A2-11AA591786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1C72DBA-2FB5-4C6F-B4D3-4895C90E217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2B228B6-7D2C-40A5-A4FC-DC06382FF0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C2C2FEE-F4EE-4EBB-BA58-A61F7D5907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ECFEDC0-0DFC-4470-A205-7B9C002AEE7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6593FBF8-A3FE-49C1-AFE7-20B3426A02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09823AB-EF74-4406-B51D-177671B773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FD941FFF-4468-483D-A754-E02A871C1D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F65E660A-0357-41CB-90CA-14E67765FDC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CF6C9E0-0A35-4365-9558-0737FC29E0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F5B4F1D8-967D-4E3A-B2F7-F6A427877100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19565C2-42AF-447C-B526-E54533EDD80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3617A61B-FA92-4CFC-9F4E-3D65BCD0B275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C2BF51B-4250-4A37-AA49-6FEF03F7D25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63A02AE-E606-4512-9AEC-4AA2F5888DB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61DFFD6-7C21-4701-8558-008A1A6428A9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883E0F3E-0E7A-488C-B9D1-FC0C73F1EC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587E8C9-1D2E-4B37-A24C-0F8EFD7C74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7E40D83-CCEE-461E-9BA1-E57AC9E4D35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093368F-964F-435D-9EF6-8A374346A6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A28B40D-3C5E-477A-8B73-2A4A7A57F2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B1B0941-CE1A-43F6-A975-693C754ECA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F87BBD4C-7253-4261-905A-27848A977F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4F3191A-FB77-476D-B2FD-8CD68D6275E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E90AEC8-BA14-46AA-8775-288F3DA0CF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963099CE-DE5F-49AC-8D91-6BDA3DA041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A54F39E0-19B2-4E7E-874B-DC93C4E4C6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F96785-451A-4483-9229-B8DB23444F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D5C29E7-B127-4301-9B23-3FA61B57AC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52BA19C1-9C1F-4755-9B1E-363CF66CC4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DECBCC0-FC17-4ADF-8993-EE168DC7D08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76B71D9-3C32-4F5A-9FD0-374DAB9B6DB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47C0B021-164A-4423-8C36-862CE47BEDF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D6BDC68-09FF-416D-BCA5-B9A13F2724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9989EB02-B751-40C5-B439-8E257BE61059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FC87EA1C-CCEA-48FB-8492-F0E36D8980F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704F55F8-BB50-4AFD-8ED1-A01987C2D5E9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F0E2BFBE-7A77-4C49-B25A-729E54EFA86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81751626-1953-4977-A7A5-E963B48271A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512F0BA-2C1B-4AE9-B4FF-AB5760376ACB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A2275BBE-CF92-4A1F-91DA-AFC35EEDEC0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A79A865D-C1F3-40A0-B508-0AB72C5E238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DAE771E1-CAFC-47CD-A8B6-0D618E5AF5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21D45CE4-4667-457A-8477-E15BF54F74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FC55E89-8862-423C-B03E-5D904116987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C9D0A67-480E-4805-9C7E-6C3F99503A7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CF3EFCF-E47F-4190-B25D-D73E3679FD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A91A361E-2999-430C-93C4-4023E0743D8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3401CB66-E1FB-413B-8F37-AB92B9B8F4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F8C2EE3-7440-4C4D-9026-DBE7B551C0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786D13AF-DB68-4D9D-B845-B965BB854E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CAA390D-2775-444E-B4D5-B11EE845DF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F119E2C-B26C-44FC-929D-369632EB62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A99A1264-C718-4DC2-9B72-8B66CCE876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2F03925C-AAE5-4985-B3EE-3F05E95E8E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55065D6-E223-436F-8959-68139F4C4B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F5808D5C-EB95-41A1-B2EF-656415750D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376BD9C6-F02D-40E3-BD51-D6FEFDF4417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1EE15518-AF8C-44B5-980E-21F42157F2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CDA5AEB0-EB10-4EC9-84BF-E19F3C499DF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452B28F1-EC7E-452F-9F05-DA43F8FB2A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666C45A3-A8A1-4283-B81D-B1BCE5593E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7791058-3532-4B3E-AEB8-06A339B7AC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485C210-E914-4765-A97E-7ABC62D6B2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DE442881-240C-438F-90CE-7A09A318D0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D055E723-5E58-4985-BA4E-428FAC7B408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AD12444A-4692-4B6C-B681-2279B4D4F45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D752D52-A96B-4368-9F62-D3B5F885AE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64C9BD9E-368C-46FC-9BBA-251406BC64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1D8DE24-D52E-44BA-AE40-22AFCC74FE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EEF465F-3AD5-48A7-9CBB-EFD5E2B15A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28B31CA-30BA-4F85-80DB-9719BF6D19E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6E2F1F81-1986-4298-BE10-A5EF2EB9AA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74790CC-01A1-458F-ADFB-C02AE67BB10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909E3873-6A7B-4981-93BE-68C9C5BF76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5EC317B-4C92-41FD-84FC-7376AB6DE3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BDF84F3A-DA44-4B76-9607-80A3D98915A4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71132BBC-7FF3-407C-A588-31A83048A3BE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B033BDFB-D5AF-4D27-B6B4-3A168612DC9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31D8C4C3-74A2-4777-8B18-111C9F1F755B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F28BAD08-040E-41CD-8214-35C723CAA76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7FC83F11-B7D5-46BA-9869-89A65D17E127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AFD9888-2474-4884-99EE-D2638B7B2E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471840C9-EF5D-4458-B455-0E35651375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10095CFA-2581-4E2E-9D74-8C3D377244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150206A4-E3A1-465C-B3D6-A5F11BF9F6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75B919F9-C76A-475C-BBB6-1C7487D9332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290F64A0-1C6E-4351-8528-76716CF011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CC6021A-F8AA-4CE1-A3CA-3EBB5F5F3A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A363D5B7-BDA9-4613-8E0C-3A7AF38224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F1B4FA8-01AC-4475-8E64-321EC7E73C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CCFFD8C0-63BD-4B8F-9D42-2CF2433BA0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8224ECB2-620C-49DA-A4B7-B7C5401EB1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FAAFB0A-9D51-4004-91F7-3205DD4C0D0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38F19759-6092-4D08-B85A-D05CE96D55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91DDC967-A6BD-4E5D-80ED-A5294143392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A527A2A5-AB0E-4520-9588-823ABF4B564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772B2802-1306-4645-A6FA-8BE3A7A95F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5C2075BA-AE78-47AD-A7B9-40D699F43DD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3F7F325-82DB-4B8B-A479-625DF44DCA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598026</xdr:colOff>
      <xdr:row>1</xdr:row>
      <xdr:rowOff>8915</xdr:rowOff>
    </xdr:from>
    <xdr:to>
      <xdr:col>10</xdr:col>
      <xdr:colOff>163977</xdr:colOff>
      <xdr:row>10</xdr:row>
      <xdr:rowOff>74744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6B318AEF-EFC0-47F7-ACE0-340BA66B0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501115" y="192181"/>
          <a:ext cx="1900178" cy="17152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991F40-6336-4931-A44F-210C0CD342E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34D2A1-A11A-429C-B909-D0142F7FBB7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90D82C-7B0A-4296-85D4-6E50E3F197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C50901C-CB75-4E3B-B17F-F1EFFDB1FC1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118CD2-4ED4-4318-9AA4-CE6659D65E0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3F9375-5AB6-439C-B49A-CF1F29E76350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B20E3B6-05C0-4E38-9647-0936C85DF6F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F2F120-C2E6-42D2-BCC7-8D7ED868331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1FF2B46-BCAC-4126-862E-19A92D808E9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0FA7A6C-4DE0-42A3-885F-44AFEF646657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535F6-C755-4D64-A7F4-5C1B0720C6F3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4D5671-5F23-4F12-983B-5CCDE1E0DEF5}"/>
            </a:ext>
          </a:extLst>
        </xdr:cNvPr>
        <xdr:cNvSpPr txBox="1"/>
      </xdr:nvSpPr>
      <xdr:spPr>
        <a:xfrm>
          <a:off x="2876550" y="3848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1E6E5BE-C67A-4C6B-A741-D9F602D642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7F202D4-E24C-4885-B2DF-210A6AD6241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BA22611-8F5C-466D-9255-CA05854BEE8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D99426-13F5-4DC9-A7E0-172B2BD122C1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557A7B-1620-4209-8B2E-1202A0E9F253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2DDB2F6-5155-42AD-83CC-A6738F4BE478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976CD38-BA43-4E47-8A8D-6A4C2E70C9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63E834-D364-488E-91D2-D578C756D30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D179E1E-BDB7-4E6B-B1AE-3FCDC1ACC07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C5D4646-99A0-422A-8EB3-6639E5EA1C01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D53FC03-541A-48FB-9F72-EE68C44D5A24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8232F4F-BC58-4D16-A6CD-48CEF72B7B18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39FA3BE-EA00-4124-81B1-14907218D80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EF99EA2-F6B8-4DBB-8764-71D1E8DD485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619FBB9-BFC2-4937-91DD-1569B513EA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19EA0D6-1D65-4AF8-8BC1-B1C88E4802FE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618433D-15D1-430E-B1EB-C83A4735B9ED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EBC4B5B-C4F8-49C4-A05D-248ED452FCED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452A1A6-40AB-4ED8-91BD-73F53F6E9E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37282F1-4F62-4031-BF80-186ABB88C1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23D90E7-6D8C-4AC4-86A1-DCC699D8E4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47F37DB-EE21-4D3F-8B49-BC442BF24FC8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D188A81-F5CD-4373-9BDA-34D4BAEB5C53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A4D8741-4007-47B5-84EA-DAF975B52D9E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2B594AF-4671-40CD-B7F6-CF7E58485F04}"/>
            </a:ext>
          </a:extLst>
        </xdr:cNvPr>
        <xdr:cNvSpPr txBox="1"/>
      </xdr:nvSpPr>
      <xdr:spPr>
        <a:xfrm>
          <a:off x="123729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2043E8B-7391-42D4-85AA-6B0619E9ECBE}"/>
            </a:ext>
          </a:extLst>
        </xdr:cNvPr>
        <xdr:cNvSpPr txBox="1"/>
      </xdr:nvSpPr>
      <xdr:spPr>
        <a:xfrm>
          <a:off x="123729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6ED8655-87EB-4725-AC33-75A26620AB9B}"/>
            </a:ext>
          </a:extLst>
        </xdr:cNvPr>
        <xdr:cNvSpPr txBox="1"/>
      </xdr:nvSpPr>
      <xdr:spPr>
        <a:xfrm>
          <a:off x="123729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135DA3E-3A25-4D04-AB9E-8676691A49F1}"/>
            </a:ext>
          </a:extLst>
        </xdr:cNvPr>
        <xdr:cNvSpPr txBox="1"/>
      </xdr:nvSpPr>
      <xdr:spPr>
        <a:xfrm>
          <a:off x="123729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3A8B31A-8721-4F0D-9756-873AF6AA3680}"/>
            </a:ext>
          </a:extLst>
        </xdr:cNvPr>
        <xdr:cNvSpPr txBox="1"/>
      </xdr:nvSpPr>
      <xdr:spPr>
        <a:xfrm>
          <a:off x="123729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0559F50-8734-4EFE-9294-AC35E42B034A}"/>
            </a:ext>
          </a:extLst>
        </xdr:cNvPr>
        <xdr:cNvSpPr txBox="1"/>
      </xdr:nvSpPr>
      <xdr:spPr>
        <a:xfrm>
          <a:off x="123729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CDA9EE6-2566-46FB-8EE8-6F133C037E25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B84CA94-CE87-4BA7-9987-A9626B622BFF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DC74E7E-B190-45F1-8217-FF2918845E94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2CB2E37-322A-480D-AC43-FE0EEC2859A8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47EF4BF-3764-4332-8E6B-8A6E7C20BB7C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CF2EF0D-EA03-497D-8421-027F0BF3AA1F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47F6B45-654B-4D0B-AC55-54D7159CE06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D2DE277-B6BB-4A9A-A129-2C046327E72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15B774A-9EE9-4CDF-8C4C-7FD5CBA875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AF6AA42-38EC-42F5-885D-3F6B9D0492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B62827D-9E9B-4E30-BC74-65DCACEC16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336A85D-D7CA-473D-BF56-3D29997EAA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CB88659-206B-4266-96B7-B1D360D8BD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BB83062-D186-4AFA-AB5A-D9C9C642C55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E610650-AAB7-459E-AD80-A40514E87C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3E1736E-945B-42C0-A38C-C597BF479F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041EF8D-B245-406E-A016-433A7F1DF4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6F48E97-946C-49B5-A1D9-6637EA014B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688001E-497C-4968-A36D-3976071364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F1C05F3-1C52-4B74-9DC1-E499A4F638A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14FC5BE-3923-47C7-92E1-7E5469CC56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54B00DF-A87D-419C-89F4-BF09E2EBE7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A2AB4A6-612F-4475-9437-E035F98040B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1FA28CE-99F7-4B89-B6BE-5FCE2BCF00C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5D65AC8-EB10-4A0B-B699-60F39553D9D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7AD5DF8-3DDB-4AFF-9304-BDF73AC47B9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118BF28-923F-460B-ABE8-14A88A4602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5A8FEC0-FDB5-4641-B92B-8E33ED5403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BC41F9D-4169-4DC8-919F-E279AC3E696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4842C84-46A6-4391-B999-02AB901729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605BF62-4681-4185-9FCF-533A64B929E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0555429-4711-4739-8D80-711F5332DC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F0F7C0C-BFB4-4207-B15C-3ADAAB0A1A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36808785-B6FE-4FE4-AC49-76398944EA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7FE1960-AD63-45CB-B800-B30F602FC3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76E4B22-C8F4-4490-A66F-1556D01247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EF68AC4-3AB8-4534-AD3C-903BC69C26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20E287B-0A7C-436E-9CDF-C2FD4E48B3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CF901CC-3C8D-42DD-8BF9-F0B8213AAA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3B03335-2CAB-43B7-9F29-9BE9732C561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7EB98AA-9CCC-4B14-A41B-AD4D01C9510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89D7C5C-43FE-415F-8015-C2FE3F608B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3BF3FA6-0C5C-495B-BAC9-29D76D9A19E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9B278771-B40F-4A2A-975C-D5A53C2BB7DB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6AC85B29-D093-40F4-A50A-FC71CC3C425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F0841E6-46C6-421A-AE2D-58F7170A307F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AE1D105-8A57-42E8-9351-18AFD5FF58A9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B94E13F-6DD7-4C7B-B3DC-B49A2CF4866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87DA7E9-E43D-4A0E-8B86-C766E94F8D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664E52DC-440E-4AA6-BE5F-AA29021222D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40D67968-0559-47AB-B73F-78E8A261D62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964E85E-6731-4A1E-9C2D-56A71A6941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A9C346C1-9704-481A-B11F-46B48D549D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5DB68534-111D-4482-9C5C-FC48D27912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F42F846-2B13-4E00-8344-1108441FA3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5980088-B04A-47F8-887A-9700F5A8FE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B10638B-583D-4EF0-862D-278484ECCB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9882F1AA-742F-4EB5-9B5F-55D4CD161AA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9678AACD-5310-4F51-A8AC-1E223FF3A6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E48138D1-4825-4BBC-86BA-5F42E93542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C1EF3B8-7C66-4CF8-BF99-42A3EE7F9D7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83F796ED-AEB4-44E3-B127-6215FF5F30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04DB9B5-5B1E-4AB5-B2D7-4707327727E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7AD7321-3ECC-4033-9357-1899A9674B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1194667-B3AE-4722-AB78-67F9543E33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87BE05C-93B1-4626-A463-AC19F0F3A9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58B78AD0-69F7-470E-B2A7-6CFDBE11877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0DDE5B3-98A8-4BE2-AA24-198AAE7B3EE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FD2F9C0-FD92-4550-93C5-1D500B475D7E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EEDE241A-4441-4443-8512-D2AD4C74C21A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E5F1E0C-9845-4A89-8816-86456D108BDF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009B61C-4E04-4422-9E20-BDEAD7D6E23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EC50FAC9-69B7-4868-92A7-8910555DB4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D9A372B-9E23-4AC9-A82D-8C59482865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8DF8E621-03EB-43D7-8DE0-84FDEB893D2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487A4C5-6E9D-4511-8C63-5265B54EAF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EEE85FFB-FF8A-4A2E-AC20-F46CA05492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7515B4B-2C6E-416B-887D-0046DCDB54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2FA025C9-911A-403C-AC8D-D7219B4FA95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818D7CC-7CD5-40F7-98C3-D2A4ACD7D8F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6CC0143-93E5-467D-B103-7D5F3BE8B1D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FFADA2D-11C0-4062-A719-9E839EC3B8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B2AC022A-9223-43E2-90B0-553BA8BC27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CF3B923-C73A-4DB9-A8B4-B41EE946591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F5D925D-87A1-4A31-AEFB-0CCF41C043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70B3B51-64B7-4313-B2C7-B8B0F1C2CC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6D6C5782-A0F0-4369-9C4C-AD2301F0FA3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ECC522A-5008-4E34-B187-F1A168BEC1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C817CB1E-9ABC-43AF-8B7E-7E38709E8A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92750FE7-7E94-4FA8-A710-4D35BCAF42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A82B5BA-2310-4CAF-87AA-C2984F2979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60F6ADB6-97C6-4D98-9316-3BD81056313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EAA296D8-48F7-4AEC-8775-D7662B43D61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16559A8E-E10B-4C63-BF78-FA1CF55AFD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15A9EC4-6040-42F0-B971-4DE13B354C3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5A32E02-DFC9-4DCA-A5D8-D9F2BB722D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12B09809-FC90-45AD-BE80-20434C6361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F7DB30ED-C701-4C42-B632-8B83D8DC986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D880E97-C154-49EF-9B6B-4F7938B2B2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3E49186-06D5-4D92-BDE3-EC83966953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D34FD4BA-DBC2-429E-AC2F-80EC509D45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F1DE5F23-2DFF-43AA-92A8-1C16F1DE86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55B51A75-444D-4209-98E2-0DE0C8C5658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7EB18115-91E6-466C-8799-DB862A4CA7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B83619-445B-496D-94DE-4D9AEF4065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7ACA9DC-53FC-459C-8475-09740FFB640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F3BEC6EC-B6BA-4D49-A3EC-E337B87CA8C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6CB770CA-957A-4085-930E-7818BCE879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BA51BFA5-2D3B-452F-B97E-2143B635834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FE8EC7E5-F665-474D-9A22-D49C29284C1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D0CF44AD-116A-4EA6-80F0-47306BA71862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B1011D3-0F0F-4BD2-BDD2-BE0B3F8053B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54899F35-FCB6-43FD-9789-C33B5B57AB6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91FB4DB1-FDC0-4353-822D-73168586A3D7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4A4A7EC-B30A-45BC-914B-34C15A8E5B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F4A830F9-1AA8-442C-B53B-3565D9569E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2A49DBD4-2D5B-4789-8DF4-9F76EB175D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36532CE6-E3D5-4A99-9321-1D510B2CE62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574A0D71-D656-4E1B-8E80-66D5634134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F136388C-8781-4530-88D9-AEBB73F374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7E1D9875-6E11-43E4-BD1E-5200E97C39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1054185F-7FA2-400B-8385-D83EE3C968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C0E8C946-ED6C-4828-BAB8-6765FB13D3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9EB4411A-D1EC-481D-BB7B-23F2277B22B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2EA95E6D-138A-44DC-B6D9-5243696A48A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56FB076E-2669-4F5D-993D-767A6682155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E2428651-D8B1-48AE-A793-95CC673DC7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EA3C8B61-94F3-4B48-9FAA-85DABE934F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A1F91E5-E863-4AA2-A19C-937B9F005D5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BFDB8D6-E00B-48D0-8491-98B4623B5A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75F7ACF-E2B7-41CF-8C50-1774ED80CF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729E508-19DA-4616-8667-6EE8449D705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217714</xdr:colOff>
      <xdr:row>0</xdr:row>
      <xdr:rowOff>49481</xdr:rowOff>
    </xdr:from>
    <xdr:to>
      <xdr:col>9</xdr:col>
      <xdr:colOff>807774</xdr:colOff>
      <xdr:row>10</xdr:row>
      <xdr:rowOff>69273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BF206D07-63FC-44B2-8EC1-9A05B8AE0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422571" y="49481"/>
          <a:ext cx="1995307" cy="18010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656312-973C-4AE4-A13B-78917FF7E7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70B3F5-AAC4-488C-96D2-9A34229685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39D418-0890-4EA7-BADA-800675457D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D7035A-E3EF-4D62-9644-2CBCEABD5118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5F0F69E-D2BB-46DE-89CF-EDD9089B1975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8AE54FF-3167-4D68-BAB8-EBB120426E28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FF5CC2C-6F30-4B9B-9C57-83E773266C4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B2E25FE-CFB7-458D-AD19-C4D09D43BC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B5AED9C-E25C-477A-904E-6AD4781D937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F47BCAB-B22C-499C-870B-C598B69A1230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789B98A-28FD-49B3-8F85-571F98D668D0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338B08-DDF4-4D98-A003-67399AA7F3AA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5CC182-8C0C-45B9-9C79-3050EEE39E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9431E38-24E0-4316-AD82-3370B39693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77EAC34-44A8-4930-92B4-B730ADFC12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9C79EC3-E514-427B-84D1-1BE8D6EC475A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A401BC8-7A3B-4EC7-AB6E-EA5A3E529010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6471DB1-1357-49C7-A0D0-21D5752B48D9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DCEF327-5C77-45AF-8321-1C41D420FA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79C769D-E1D0-49D3-A8CF-7BA86CD259F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EDF6B7F-FD48-4708-9A8B-6E4650ED70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C91079C-7535-49CC-A061-319AF1212B3E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5792E1B-6A0E-4AA7-926F-1D72A0A251B4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274CC9D-5F5F-44F6-B321-500760DC48D9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A85D83E-ACBD-43EB-857A-830A8EAEE9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55FD31B-D1A6-49C2-B1CC-5762D4A5A4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4A0DEC1-ABEE-486B-82E9-6ACC58045E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2B60303-64AA-423E-9068-142091AFAFEB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CB34ECF-393D-47A9-A256-CD2F411C3C28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C75B1E8-EE34-4CF9-8857-CEE0DD6D03EF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A9547C6-5920-49A1-B2C4-132CEAFEDD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E91A838-FBD2-47C3-9003-C857CE19430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9017ED6-C30E-4A7F-98B8-A6D973DBFC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7B5EC7F-009D-4641-8829-48DD74E68255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3573E1D-91CA-4A25-BE56-AADE43EBB9D9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AA7A935-A5FA-4092-9223-9F53A96490C5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B63242C-6186-4792-A127-58BDE7B8C419}"/>
            </a:ext>
          </a:extLst>
        </xdr:cNvPr>
        <xdr:cNvSpPr txBox="1"/>
      </xdr:nvSpPr>
      <xdr:spPr>
        <a:xfrm>
          <a:off x="14601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7210102-1741-4C7B-BFB3-D86B9ABCE686}"/>
            </a:ext>
          </a:extLst>
        </xdr:cNvPr>
        <xdr:cNvSpPr txBox="1"/>
      </xdr:nvSpPr>
      <xdr:spPr>
        <a:xfrm>
          <a:off x="14601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1F8001F-2693-4DF4-BD21-0C258B8D4449}"/>
            </a:ext>
          </a:extLst>
        </xdr:cNvPr>
        <xdr:cNvSpPr txBox="1"/>
      </xdr:nvSpPr>
      <xdr:spPr>
        <a:xfrm>
          <a:off x="14601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B0C762B-08D7-41F3-A773-4B9CF8FC7341}"/>
            </a:ext>
          </a:extLst>
        </xdr:cNvPr>
        <xdr:cNvSpPr txBox="1"/>
      </xdr:nvSpPr>
      <xdr:spPr>
        <a:xfrm>
          <a:off x="14601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F5674DC-21AA-45DA-B20C-F1B9E147D9E4}"/>
            </a:ext>
          </a:extLst>
        </xdr:cNvPr>
        <xdr:cNvSpPr txBox="1"/>
      </xdr:nvSpPr>
      <xdr:spPr>
        <a:xfrm>
          <a:off x="14601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6E7FAF9-2DB3-4E14-B332-1CAA2FEA42F9}"/>
            </a:ext>
          </a:extLst>
        </xdr:cNvPr>
        <xdr:cNvSpPr txBox="1"/>
      </xdr:nvSpPr>
      <xdr:spPr>
        <a:xfrm>
          <a:off x="14601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E60699F-39AD-4C9D-8759-DA4AF06EE286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BFB348F-955F-429D-8998-F7F2B29096F8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47734F6-52A4-4872-A690-FA376B24E1A0}"/>
            </a:ext>
          </a:extLst>
        </xdr:cNvPr>
        <xdr:cNvSpPr txBox="1"/>
      </xdr:nvSpPr>
      <xdr:spPr>
        <a:xfrm>
          <a:off x="2876550" y="46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638AEF6-00C2-49EC-BC05-A373AB3FDB6D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3550323-1BEA-40DD-8277-A96BD0978F1B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8ED0336-45C4-4CE9-A9A3-E7A46BB591A5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64EEE9E-91E0-40C1-9245-1D8D5D032E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94ABC37-067F-450C-9368-D607FB407AC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488B404-72E4-4506-A22D-CBA19BA463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F9D080A-34FB-448B-9C4A-6ACA003AE8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870A8EC-B93B-403A-8EE7-631CACF9F21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4FACB67-949D-449A-96EE-F87DA0FAF4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BC9611A-BDFA-48E3-9551-3874F4E09F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56CDE2B-06A9-4CDD-B957-3F93ED83B3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C094F67-52B1-4AA3-8323-72837673E3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81C49B0-AEC4-4E9A-97F8-9546D5D64A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A251E74-7067-438E-A996-82FC783804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4654D17-8DED-4008-BDCF-75D6530D9A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76F23BA-3EE9-440B-A7D3-1BD45E4225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DA27241-07EC-4D0B-8940-10791FDE61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F13B8D6A-D847-43B9-B534-F107566BB2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A33BE7B-4CA6-486B-8987-19B0333426B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ADB8EC1-AE4D-441C-80C1-720D4842AC8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3515E50-6154-4C24-8086-C37335DAD8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C0862E1-7192-4EFF-9BCD-3D02918A53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DC48A1C9-3E0E-49BE-AE6D-B77D74EEF68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FB4ED31-C8F1-40B1-8542-2184049AB76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2B3C4AF-580E-4A5F-9175-B3F0E368C4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AB70297C-4DE0-41DE-A47E-8B09F9A6D01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D9459C50-FEEB-4927-BBED-17387E04A61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94BB1F9-3FEB-480E-B271-1611373ACA2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5DFDCD1-16F5-41FB-B101-EEE204DA05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F794651-4C27-4335-B921-862382E83C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A681BD3-C144-49D0-97AA-26BC0916E4A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2219163-2D8B-4F4F-8716-F75EC7DE29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1423862-FBC8-478D-857D-14EC759D8A2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1906048-689A-4274-8085-D8B74AA1F49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8BED84A5-4675-4461-AE72-5F7C585087A0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3676EC9-004F-49AD-8350-E8AC70F0623F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923A585-4B53-4661-9366-DA961698348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C93240D-6C2F-4BB1-9F0D-270CF6E79C6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66CA66D5-9142-4819-A975-32679E37116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D9241B3-27DF-48D5-B559-DFFF28D1DC7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C0E1BE16-A569-41B3-B5A7-7A3E4B1F97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8375613-914D-499F-A3B5-34053905FE4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3EDF5A0-CD31-4DF2-AF10-08FBE740510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A37053F-4651-4B42-A686-ED7073E415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416FD90-8D77-400F-818E-7930488FB1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D2EB3DA0-C7E8-4E72-858F-369209FD73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D90F213-5FB9-446D-B2FF-876FA39017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41827616-4E33-47DC-8563-717DDE7638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905C272-1B81-4C02-A00F-3B95270003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984FEDC0-BC05-4ADE-84BE-312BFDD4ED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6FA9DA4-C00B-4C24-8E23-5D190E1E10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570F246-8109-420B-BA11-0CB1AC9F2E3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94994FF9-3976-49BF-9AF4-E0EF436C2E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BEC2504-EAC8-4229-9A0D-75FE3ECB44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90324FBE-4205-4BF6-AFE0-54E3B1840CB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600DF7E-26AD-41F1-91CF-A0F4B5B919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F334C26-7807-4B30-88A0-515D704E66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3AF1F18-1655-4C1B-8CB6-5CE27363AAE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F3BE42A-61DC-4778-9B84-900B830FEC94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35A489F4-E4E4-4EA5-AA0B-7661BA8E803B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72D580A7-47E9-401D-8E2E-C6A63F027F7E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04A7272-7F91-4AC4-8A86-98A6770CD86A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7E40806-0528-4FA3-B50D-4BDB853FFD1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D76A4A90-24B2-45D4-87E5-B738D427D7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E352FC8-19A3-469A-B75B-90C2394FAF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74F6761A-1559-4DF4-8D96-B1F8D738396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3D233C5-A7C8-43D2-961F-351B6D12EB8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6083860F-8E69-45BA-8F7D-49EE4F711E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A1937FA-A0CA-4780-8AAF-7B904EC6F4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3AF9C9D-B78C-44FA-8AD7-A9490A2F3B3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49497F75-146D-44DC-97B9-745E4D189E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D12EBA92-BB3D-4384-9845-AA4AEA1FE0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5AA495FA-BF48-4E0D-B645-E755CAA59C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EF985B9A-1745-4F02-B94F-08CDF71573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B8775EE-63A2-4FE3-BB61-7AE6F4A33D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E21E269-E40F-42EC-A91F-7F6D3F1432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C1CAF5F-4579-4957-A30E-F6E610D919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E53A0DA-668D-4199-92FF-B2DD8A9AA0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8C92E0C7-55BA-4456-91C6-EF3EC197B5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6875B9AC-1EA1-4E45-BAC4-0447BD9B61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F00C455-B241-4C6F-9DFF-8E9687230A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BAF23DA-3A04-4A6E-8F98-935264D86B7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4296644C-008E-407B-BC26-7149BDB177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23227E2-779F-4C7B-9BB0-6724E4D97DB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9AF81984-A5D0-4E84-B5E4-0CE33C63F9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3208F252-3B32-417E-9D1E-13F82D3AFD6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619B3066-E071-4E27-BBBE-F8B9D32C0F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72B9EDE-FECA-465E-8FDF-F3ACF21A291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F24F49DD-B7BA-4D34-87CA-B79C83DFFC6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2367B7D1-7954-4E3F-BF58-4B4B1045B5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10A9BBA-D453-4B71-B1AE-02D7A46BDF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9D2D014-32A5-408F-85A4-2C5C9C9484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6D3231F6-37A0-4A67-98D7-4EE21A0D59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6BD9F4D9-6274-4638-811C-D946E5821C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B8E3F861-0834-4994-B023-AF4E352116E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B445A035-72C9-4E74-AACD-1A9CC61651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A9AF0347-F80A-4B6D-B48A-FBC1434106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2F44B767-3B26-4013-ACBE-C283603DB0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0419902-02F2-4D3F-8362-21A1FD6672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09ADC6D-C810-48C3-B8FD-03386259C6F5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7076C92A-E6E7-46F1-A73E-10FF02B3BD20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F8FDA9F-E0E5-4663-B18F-A23841CEE7E9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83A8DD6F-8A6C-4FFD-BBA8-59C7E85D0F32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41FB8BCD-89E3-48B2-82FE-78459B0FFE4E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47F118CE-9DB4-47CD-BFD9-71170766B6C9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DE4105F5-CB26-4BA8-BD8E-4EB00662A7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E38D93A5-820B-4F2D-A836-C0C0208C96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2931A07F-604E-4432-AE31-ADAD79EDB4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FA425581-7B9B-438F-975C-8EFAAEBB08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6932AFD1-F189-401C-9B96-7E42549126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8241DF8F-2188-4220-998F-C58039FAD5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D72E73E3-CB74-45BF-A6AA-BBB8F6F434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D7A32670-76E4-4D85-809E-9B55614FD5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81BAA0A5-9FA9-4D07-B117-4A99C70E1E2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98DD141C-261E-43AC-9924-EF5153D36AF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5D52AB64-1823-4FC7-9D33-59390FF8FB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6FAB41B-4A65-4577-94F1-40BEE7EAA7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7F90231-1F10-4BBA-A500-77AF04F9D81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96E2092D-6D29-494D-9A9E-B88C1F910F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9F029184-D219-4AEC-B8BF-46683C7A4C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678D839-048A-4772-A402-882EB1F318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460005A5-AACA-4D8D-8DFA-D3E5FF371C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CE76EEA2-E6CE-4D25-8114-B938FBE340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159224</xdr:colOff>
      <xdr:row>0</xdr:row>
      <xdr:rowOff>0</xdr:rowOff>
    </xdr:from>
    <xdr:to>
      <xdr:col>9</xdr:col>
      <xdr:colOff>739255</xdr:colOff>
      <xdr:row>10</xdr:row>
      <xdr:rowOff>58998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E4DB2DC2-11A8-4DEA-B471-8D1D144575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562299" y="0"/>
          <a:ext cx="2081284" cy="18786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C44155-5901-48D1-8A8B-0B7390426F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0CC91F-9AF6-4681-BF69-AFB81DAB37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3FF8B96-8AE6-454B-BBB8-0F76088A0C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5B1E92-A78F-4A4B-BDF2-560718BA071A}"/>
            </a:ext>
          </a:extLst>
        </xdr:cNvPr>
        <xdr:cNvSpPr txBox="1"/>
      </xdr:nvSpPr>
      <xdr:spPr>
        <a:xfrm>
          <a:off x="2876550" y="404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761B89-E53C-4826-9A42-E1D5A5B23383}"/>
            </a:ext>
          </a:extLst>
        </xdr:cNvPr>
        <xdr:cNvSpPr txBox="1"/>
      </xdr:nvSpPr>
      <xdr:spPr>
        <a:xfrm>
          <a:off x="2876550" y="404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5C1637-3E51-4E6B-A300-DECE29425698}"/>
            </a:ext>
          </a:extLst>
        </xdr:cNvPr>
        <xdr:cNvSpPr txBox="1"/>
      </xdr:nvSpPr>
      <xdr:spPr>
        <a:xfrm>
          <a:off x="2876550" y="404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C093DC-ACC9-4851-930A-46D052BF2D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D27AE4E-9DD6-437A-8143-9D22EA5E049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A9B7647-1977-4A08-BD3E-3023B930771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529E615-877F-48B0-A465-7C64D7E75DC3}"/>
            </a:ext>
          </a:extLst>
        </xdr:cNvPr>
        <xdr:cNvSpPr txBox="1"/>
      </xdr:nvSpPr>
      <xdr:spPr>
        <a:xfrm>
          <a:off x="2876550" y="423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6E9219D-487E-451E-8A0C-86308423E2A8}"/>
            </a:ext>
          </a:extLst>
        </xdr:cNvPr>
        <xdr:cNvSpPr txBox="1"/>
      </xdr:nvSpPr>
      <xdr:spPr>
        <a:xfrm>
          <a:off x="2876550" y="423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FB562AE-ED20-4B7A-8A0F-A3D14C12B146}"/>
            </a:ext>
          </a:extLst>
        </xdr:cNvPr>
        <xdr:cNvSpPr txBox="1"/>
      </xdr:nvSpPr>
      <xdr:spPr>
        <a:xfrm>
          <a:off x="2876550" y="423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6014B8A-0DF9-40F0-AFB6-9101F88D1C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C8E690C-B662-4418-9A73-07821C71C6E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B0A8582-1EE7-40DD-813B-3D89F4C4E1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13CA7C6-59F3-4F9F-BCA1-863E24CF7B38}"/>
            </a:ext>
          </a:extLst>
        </xdr:cNvPr>
        <xdr:cNvSpPr txBox="1"/>
      </xdr:nvSpPr>
      <xdr:spPr>
        <a:xfrm>
          <a:off x="2876550" y="44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6861880-4EF3-459B-B363-A9335E17D9B1}"/>
            </a:ext>
          </a:extLst>
        </xdr:cNvPr>
        <xdr:cNvSpPr txBox="1"/>
      </xdr:nvSpPr>
      <xdr:spPr>
        <a:xfrm>
          <a:off x="2876550" y="44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09875B0-AD59-4075-A893-1E82AAA9A1EF}"/>
            </a:ext>
          </a:extLst>
        </xdr:cNvPr>
        <xdr:cNvSpPr txBox="1"/>
      </xdr:nvSpPr>
      <xdr:spPr>
        <a:xfrm>
          <a:off x="2876550" y="44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FA58CAF-2E4B-46BD-B6A4-55C85688C4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98415BA-F81E-45E4-B897-400F6D640B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7316E11-7668-4007-9C3F-B690AAF4E21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3E4DA3-D170-4FD7-808A-019773FBC74C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3A3AA69-146B-4D7D-A700-0CC68289C501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B0972F5-BDA6-4C1E-9D75-CF1ED205D571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A471DD1-39F6-46BE-BC68-0220B291C7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89B5D1D-A39F-4639-A3FB-052566CFE8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AFA7791-9C7B-491A-8453-76BC116AB5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3DF7E66-0240-4891-B53A-2958925B17AD}"/>
            </a:ext>
          </a:extLst>
        </xdr:cNvPr>
        <xdr:cNvSpPr txBox="1"/>
      </xdr:nvSpPr>
      <xdr:spPr>
        <a:xfrm>
          <a:off x="2876550" y="44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D79F57D-3D99-48AE-B4DB-733A82D2F27C}"/>
            </a:ext>
          </a:extLst>
        </xdr:cNvPr>
        <xdr:cNvSpPr txBox="1"/>
      </xdr:nvSpPr>
      <xdr:spPr>
        <a:xfrm>
          <a:off x="2876550" y="44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47E53DB-D91B-4551-8F84-D02829E41ADA}"/>
            </a:ext>
          </a:extLst>
        </xdr:cNvPr>
        <xdr:cNvSpPr txBox="1"/>
      </xdr:nvSpPr>
      <xdr:spPr>
        <a:xfrm>
          <a:off x="2876550" y="44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0D963A8-3F15-46F5-BCDD-1B1B5B4CF0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D5CED72-251B-49E2-ABB5-2DD03ACB1E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7439ABC-53CE-4CE7-BEB3-B5B5B4DC53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3DDD7FC-9610-4992-B415-EF7E393CCDCC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FA6D91D-1A5F-4BA4-86E9-04500EA2B077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27D4652-1B78-4859-96EB-4B0F1C9845CC}"/>
            </a:ext>
          </a:extLst>
        </xdr:cNvPr>
        <xdr:cNvSpPr txBox="1"/>
      </xdr:nvSpPr>
      <xdr:spPr>
        <a:xfrm>
          <a:off x="2876550" y="48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3645AD3-5812-44C7-9A57-D5F2034F1E1F}"/>
            </a:ext>
          </a:extLst>
        </xdr:cNvPr>
        <xdr:cNvSpPr txBox="1"/>
      </xdr:nvSpPr>
      <xdr:spPr>
        <a:xfrm>
          <a:off x="14649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DF4277B-C0DC-4F73-9971-40CA0F458E3F}"/>
            </a:ext>
          </a:extLst>
        </xdr:cNvPr>
        <xdr:cNvSpPr txBox="1"/>
      </xdr:nvSpPr>
      <xdr:spPr>
        <a:xfrm>
          <a:off x="14649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3859ED4-B220-4C76-BC54-D2626D5F8EE7}"/>
            </a:ext>
          </a:extLst>
        </xdr:cNvPr>
        <xdr:cNvSpPr txBox="1"/>
      </xdr:nvSpPr>
      <xdr:spPr>
        <a:xfrm>
          <a:off x="14649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E6806A8-3985-409E-8BC4-292F254A360E}"/>
            </a:ext>
          </a:extLst>
        </xdr:cNvPr>
        <xdr:cNvSpPr txBox="1"/>
      </xdr:nvSpPr>
      <xdr:spPr>
        <a:xfrm>
          <a:off x="14649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568B7C8-D924-451C-8FA0-BFB43F2864E2}"/>
            </a:ext>
          </a:extLst>
        </xdr:cNvPr>
        <xdr:cNvSpPr txBox="1"/>
      </xdr:nvSpPr>
      <xdr:spPr>
        <a:xfrm>
          <a:off x="14649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3E38ADC-7FE5-4564-903B-B06AB67846A1}"/>
            </a:ext>
          </a:extLst>
        </xdr:cNvPr>
        <xdr:cNvSpPr txBox="1"/>
      </xdr:nvSpPr>
      <xdr:spPr>
        <a:xfrm>
          <a:off x="14649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842AC51-72CD-4DA0-A42F-55C8A2F0818B}"/>
            </a:ext>
          </a:extLst>
        </xdr:cNvPr>
        <xdr:cNvSpPr txBox="1"/>
      </xdr:nvSpPr>
      <xdr:spPr>
        <a:xfrm>
          <a:off x="2876550" y="4619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E1A17BF-7A45-4CB1-8593-2A625133EC89}"/>
            </a:ext>
          </a:extLst>
        </xdr:cNvPr>
        <xdr:cNvSpPr txBox="1"/>
      </xdr:nvSpPr>
      <xdr:spPr>
        <a:xfrm>
          <a:off x="2876550" y="4619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A1934D9-BD6C-42DA-8D6D-0FFAD6A67818}"/>
            </a:ext>
          </a:extLst>
        </xdr:cNvPr>
        <xdr:cNvSpPr txBox="1"/>
      </xdr:nvSpPr>
      <xdr:spPr>
        <a:xfrm>
          <a:off x="2876550" y="4619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F4ED924-AAF4-406B-8446-AB98A6D69EED}"/>
            </a:ext>
          </a:extLst>
        </xdr:cNvPr>
        <xdr:cNvSpPr txBox="1"/>
      </xdr:nvSpPr>
      <xdr:spPr>
        <a:xfrm>
          <a:off x="2876550" y="44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C44CEC6-8C57-400B-AED8-A4A9586EC421}"/>
            </a:ext>
          </a:extLst>
        </xdr:cNvPr>
        <xdr:cNvSpPr txBox="1"/>
      </xdr:nvSpPr>
      <xdr:spPr>
        <a:xfrm>
          <a:off x="2876550" y="44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A37A798-E36A-4CA4-B9D7-3EFD3B116161}"/>
            </a:ext>
          </a:extLst>
        </xdr:cNvPr>
        <xdr:cNvSpPr txBox="1"/>
      </xdr:nvSpPr>
      <xdr:spPr>
        <a:xfrm>
          <a:off x="2876550" y="4429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0052DAD-54F5-40D7-8BBC-576E7794C8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C26CA83-936F-4476-8733-1BB606E03F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3B6E850-0000-4C7D-9D52-0D539AB392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2BC1AE2-F6EF-45BD-99DA-DDB6EE9D5B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D0ED866-82AC-4660-B5FD-65AB6C07E0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6ECF518-25DE-4DC9-BCD5-541731C9705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235723B-E777-42F5-94F8-32751BF649A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60CF11F-6B4D-45A7-9F1A-3DA13FB565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B32CEE7-2D29-483A-9666-D74B42D2E7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78C5554-BA3A-4EFD-8AAF-3E17B368A1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1E85900-A88C-43F8-B8C8-964430314F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70B5995-B862-43B9-9EF1-55E939B7CD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2AECF68-F99F-44B4-B30A-CE054DCC1C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800D165-1ECF-4C96-8811-7C20CC9030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819D105-21A5-4E7C-B0C1-E7D9224760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E95B486-DF9A-4725-9A64-12F733C1ADF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6CBD34C-5A0F-4EAA-8A95-CE973D6680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A0076A1-758B-4202-9DA7-E0AF47031A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079BE2D-87CB-4473-88B9-C0BBED5582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1F4C3C8-33C1-4C0F-88D3-A88B1A2CEC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88B8B75-1591-4BC6-9C85-90391E4F9B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B176D56-A082-4D0B-AE34-2EE43C03E2F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23D58FC-0695-4BD2-A794-F2A3DCEA0E4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A1FB0F7-F9BA-40B4-842F-E92AD67FF7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280827A-8DC0-4CE4-8986-18B23B313A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556A16F-05F9-4317-85E2-54C80703326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D8DBF6A-BF9F-4C10-813E-734A430328B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B72AF28-32A1-4784-BAF7-9AC52FD2C5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688BD3C-2981-40A6-A561-F0D4879BDA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D6F0F1A7-4F46-4633-B14F-09300E0593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66CBFCD4-27B9-4A08-8756-CEFD5C68F2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E0E23D27-EBAC-4874-8FDF-7010BDA592A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851327B-00C5-4D38-8A77-D778CEFBA9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53E2C40-30A7-4E8C-8306-A207A46818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72FDD22-E159-4949-8CA1-DF890B07F2C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7D51691-6A58-41C3-B3C3-CF529D9151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2B99D3D-19C0-4C8E-BE8A-A00E1A27AA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81AC9EC-3A4C-4B7C-BF8C-00B1151676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ACB90CE-07A8-4E8F-8FA5-83EA2B9900E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C805FE1A-BAF1-4D48-A8E0-E238D0AE4F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A202971-F43D-42A6-BF49-4F8C96698D7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A4F8DFEC-7B3E-4CDB-8342-306B27465A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E07C2611-E4F9-432F-A201-C1F07B9518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4A06A77-DCFC-4EAF-9395-179CDB0B3C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F94556D-DD8E-4D7E-A117-C952A9F92AF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20269BB-F2CC-4069-8A8D-5A5B574729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9C7C43B1-A25B-4981-AC06-D706BDB0FBB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FA5674F-9A87-48B4-AE7F-4ED19E17AF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869F96C-FAB0-4C2B-8550-3017943650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64781EC-C9E0-469D-A573-260FED6DB3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B5FFCEA-C59D-4FFE-BA99-B017EF834B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F51F0374-3614-4E54-ABC6-2A440387222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9024FDD-9B67-4D3B-BA45-45A21C9A46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E13E0783-33E8-4134-A8C6-51A88754295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75C94B72-4DC2-403B-972A-57C7F541BEF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74C4C7F-3C6C-4733-AB87-2DEA46CA6F50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C882E44-4321-41B7-BA3B-ED3CE1E40B5A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1E5A204-3158-4CDD-A16C-EB61CB66B8F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3D479D6F-042C-4FE4-B7AF-54E2A81DD127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BA9EFF0-6354-49A0-9AD7-49DA29F611E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DA0859F4-1B0C-4324-A663-FBBD39FB3C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51559DD5-A814-4D67-A375-BEB956F314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884C49AB-BC26-41C6-90B5-78E6D9F798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6AA70814-3563-4E8B-820F-D2EFF8B173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AF8D95C-5776-414A-AA97-DD771ED926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20253C35-71FE-4A18-8BBD-8A86CA7593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771150E9-C86F-4CB2-8AE7-4B53F971CF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D13B3F4-3DFD-475B-8BF6-2246A828D90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1480C1FA-23D5-4C1E-A2CF-18C5CE41BD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27054A86-FEE3-4842-9C07-0348EB28AC7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D113547-328C-4DA5-8099-1499B86989D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1A0EB00-E8C3-489C-A225-69AD6FAC6B8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0E76798-9B94-45C3-9DCE-7B314CDA94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A064D68-3427-4E6C-82D9-32A6E938EC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D96A0110-889E-4DB4-9247-6AC91556F3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D9F29545-509A-4928-A199-7AD4D555924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B088D532-EF10-4452-9CA5-7A543D18B2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1AD4D18-DED0-4373-BC4B-EA1CEA5B39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A5CED40-61DB-44D6-80FD-640D3B26D3B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EE19DED4-D3CD-407A-B2E1-564C23D36DBE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CE038B78-FFBB-4E2F-9E71-4C21C41F6074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94B7E0D9-6CD5-4BE2-A635-C604284F6845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F245182-2AAF-4C0D-BBCF-5C56B3241F44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E78D5BC-7289-42C5-AEB4-92435E39986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03F2B90-C912-4B01-B49B-DE9EE912E04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CBBFCC34-7533-45E7-8A6C-901EF0BE49C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90EA6D16-C6AD-4B31-B930-09E668FA36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8AFD6BB6-F196-4903-B993-851AF7D031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FA3E64D-185D-4DCD-8DE6-6E157C96BC9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82AAFB7-6C25-4CE1-A3BE-517FC776A87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77F14FAF-90D1-4BB8-947C-3F9C11BBF2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CC15506F-9AC0-4B91-957A-D839A3595E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ACF5066A-B5D5-4851-8BA9-318F609BFD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5D490FCA-E8EC-45FA-95E2-0122C84A39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41FC38F7-1AA2-4F47-B849-97B47CE4BB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1BA3E87-7C97-4A31-8E24-7975FB22E8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54FF0675-C0D8-408C-AADE-9FEBA5898F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D45626DD-4751-45C5-8068-948A4C4DD2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EFA6D27-A3E2-450A-8003-6655FF413D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271450E-5AB4-4FF9-9644-F2C42CD6CE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89ED45E0-968B-47B2-904A-775B0483F6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37B87DEA-7A69-4E88-81FB-D4D46311C9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8452E1DD-6628-4FB7-B771-39ED938580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C08DD6A4-B245-482A-956E-73D1FB24295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DC79B98D-19DA-45BA-8DEA-DCF5CFB471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D91A9592-F6C0-4711-9EE0-B2A020086B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A8ECF7B3-6800-4A73-B160-920218F530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5C2B11BA-F74C-4F6E-A52B-CCA948902A0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13D40BDB-30F5-44E8-8EF4-ED43AD824F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78CDFD0D-42B1-4517-9B5F-145D57BA09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592222F6-15D3-427E-B924-25D565F4E5A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8E9832C-BFEF-4870-9C43-563F2C3046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F0CB6427-C455-420A-BD1F-57A1E8334C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CF77337-BB14-4FBE-86A2-49C5765F78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781B2027-DC65-4594-9EB6-FFBFD2B627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6F9B8877-2603-475C-813B-5D74B2F8DD6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7FC01081-21E9-4F9B-89FC-4EA71AD502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50B3770-24C5-4B18-A520-C6C4D0767B4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BF83CB83-B34E-4AFD-BBA2-7963280764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80EE615A-CDBA-4333-BF4D-12456F5FBF6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6E7FCFA-F601-4918-B35F-6015800B437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C4D1BBA9-CA3E-4126-8602-2F4891EA7B02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DB185733-093B-4D5F-8C08-DB60E9428D6F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E627F10-49B9-4C2D-B6C1-96D97F770354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13C38FE-EF8F-4450-85F3-AA6441691BD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59CDFA7-472E-4D79-9D90-08E743BED60E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AAB21659-EB5F-4C97-9A0B-D24F9588FE5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DC3DC66-47C6-4D9B-BC51-556E041B2B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F0D8B39E-E115-4C1F-881F-BAD6AD7B06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D191D75B-BD7B-49F0-8729-FA08DA7374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3FF7184A-C973-4F57-AFA5-1BB92EA47FB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D9769F2-1790-479F-8781-74A06573F09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BBCBE092-3860-4F48-A76D-7D55910BA9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A20CEDEB-6415-4459-B5A2-225E291CDC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A67B8145-A2D0-4FF5-8E3F-42CB91B693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BD8C8ECF-DA33-43C9-A1D2-A2CE30BB82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19586865-E1D5-4271-802C-5E3AAE49B5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5993951-4512-4CCC-A4DF-1A14F821B1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1FC708FF-6194-4FFA-98E3-2FFC6094E3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3ECA3609-2DF6-4AE3-9A49-80630F2D93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99B1F7B3-DBDD-4F95-9B7D-CF07F3438E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14EA17F2-3F2D-471C-928A-6D5F3B6883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20A015D3-8AD2-4B05-BB15-46AC36B00A8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B46F7885-F474-4D2D-A0DF-4106BED0D3B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865094F-9443-4A93-A5BD-31BA1D8AED51}"/>
            </a:ext>
          </a:extLst>
        </xdr:cNvPr>
        <xdr:cNvSpPr txBox="1"/>
      </xdr:nvSpPr>
      <xdr:spPr>
        <a:xfrm>
          <a:off x="2876550" y="381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53B662C8-D6DD-445E-A695-D56682880CFE}"/>
            </a:ext>
          </a:extLst>
        </xdr:cNvPr>
        <xdr:cNvSpPr txBox="1"/>
      </xdr:nvSpPr>
      <xdr:spPr>
        <a:xfrm>
          <a:off x="2876550" y="381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20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8C94F62F-0A24-4376-8EEF-0CA1808BACDC}"/>
            </a:ext>
          </a:extLst>
        </xdr:cNvPr>
        <xdr:cNvSpPr txBox="1"/>
      </xdr:nvSpPr>
      <xdr:spPr>
        <a:xfrm>
          <a:off x="2876550" y="381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920339</xdr:colOff>
      <xdr:row>0</xdr:row>
      <xdr:rowOff>168234</xdr:rowOff>
    </xdr:from>
    <xdr:to>
      <xdr:col>9</xdr:col>
      <xdr:colOff>197922</xdr:colOff>
      <xdr:row>10</xdr:row>
      <xdr:rowOff>57376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64D817A9-8D5B-4B3A-89A9-A6EC985CB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571014" y="168234"/>
          <a:ext cx="1850570" cy="16704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9A71EE-9EFC-4745-802F-2FFE744B37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5B3B0A-AD2A-4780-B3E5-A7A9C256D64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A6AD7FC-8798-49EE-9C82-B5527D9F39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E6EAC3-A5A1-40C0-A589-DCE234DAA02B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4B56C83-88EA-45ED-BC58-0F9E5BAF3842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5B99371-9940-47E2-921B-583D79C09EE4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52C1BCB-16D1-471D-9B3B-2081C4DE731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53D6CEB-BA57-479F-BD3E-A0E93730C2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034B256-4208-4766-891A-3FB46817AF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A3F3910-DCCB-407A-8633-8DC7B271FDB5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C2AB598-849A-4948-8487-C9D89B61012E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2669FE9-1C7E-4690-B355-C6CC3D3013C3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58F670-CE5F-4CAB-A0AF-2C0F2F9BDF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B448E6A-72BE-4604-B2D8-0A60AB3096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B647C8D-B588-4F43-9434-0E6F20E35C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CA51682-ACC3-4DF2-B587-98D7F502AE91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826FE8C-F6DA-4B11-B484-E782328726E4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4695A2B-865D-4D67-A328-B33A7A33E6D8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BB635A0-1F26-43BF-970E-479A9334992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C9E0890-A171-4B42-A0D5-D22DFEB9AD3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696663D-A504-439D-9C3C-D3DD33D3429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4A67B80-E1BD-4B12-9379-8ABFA028D474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4FD191A-FFCC-4407-8B10-74769EC4F6B9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8B3F54E-0172-4C6C-831E-2E473C07FC11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C8890F5-53D4-4695-AD26-55B0B5E66C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D946813-07C5-4B7F-A76D-C7DC16CBA6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FD90BF3-9DF1-494B-A096-E82482A148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A27304A-FCD0-4D49-9662-2C36F9C8D3C1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6176FA2-B6BD-48ED-8BCA-38D6EBD1F83A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6B50427-C2A1-4C22-947A-265762351E3E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FF257F3-E187-438F-ACB5-78BECE9EAB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57A0BCC-BE7A-46F6-9F6D-FAFDF8C6EC3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17F281B-74B8-40F7-B0FF-BC2FD2BBB3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935D08A-EB67-42A1-B141-A2477D1DAF0E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CB11926-2540-4E84-ABA2-7F6618655B3F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B0D4C33-673F-4398-B78E-ECC820B7D1DC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61C2C83-4560-4C16-BD84-AD57A86ADA8A}"/>
            </a:ext>
          </a:extLst>
        </xdr:cNvPr>
        <xdr:cNvSpPr txBox="1"/>
      </xdr:nvSpPr>
      <xdr:spPr>
        <a:xfrm>
          <a:off x="12544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D049D7B-7552-43B3-9019-0F2D0DC80228}"/>
            </a:ext>
          </a:extLst>
        </xdr:cNvPr>
        <xdr:cNvSpPr txBox="1"/>
      </xdr:nvSpPr>
      <xdr:spPr>
        <a:xfrm>
          <a:off x="12544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BD609A6-38CA-41D4-BE9A-6BFE2B799204}"/>
            </a:ext>
          </a:extLst>
        </xdr:cNvPr>
        <xdr:cNvSpPr txBox="1"/>
      </xdr:nvSpPr>
      <xdr:spPr>
        <a:xfrm>
          <a:off x="12544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93200E7-7376-40CF-87B3-D9F41D0838A9}"/>
            </a:ext>
          </a:extLst>
        </xdr:cNvPr>
        <xdr:cNvSpPr txBox="1"/>
      </xdr:nvSpPr>
      <xdr:spPr>
        <a:xfrm>
          <a:off x="12544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B5E33BD-FF3D-42D6-910D-1DCD3B793DB7}"/>
            </a:ext>
          </a:extLst>
        </xdr:cNvPr>
        <xdr:cNvSpPr txBox="1"/>
      </xdr:nvSpPr>
      <xdr:spPr>
        <a:xfrm>
          <a:off x="12544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BE5D7B6-1AC1-408A-9CA8-B0E60CEC7DCD}"/>
            </a:ext>
          </a:extLst>
        </xdr:cNvPr>
        <xdr:cNvSpPr txBox="1"/>
      </xdr:nvSpPr>
      <xdr:spPr>
        <a:xfrm>
          <a:off x="125444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B95BCF4-405B-4D98-83EE-BEB9B7F7E50F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D77E0E6-F08C-495C-87D8-EC4C43A34B81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92B4E68-2D6B-43F5-8322-C33AF483269E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D27EA45-AC11-470A-8AA8-10E02DFAC1CC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1E4A8ED-81F3-430E-885D-1E4D41DD8DF2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A7A630A-04C3-48C5-A788-DE74CDD56814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177BBD3-903F-4132-BD09-2D2B78BB37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4563858-1A7A-4A5D-AD5D-BCF5BB2C4C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6A676B1-756F-4E36-B0F1-954F80BAE92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57F4407-A676-4F24-96E7-9FFF1C89226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A3CF8C3-78A3-40FE-BF7E-C514FD51C2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04F88BE-217A-4707-8FCB-47A64F6DB0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A48A0E6-E067-42D3-9F3D-A07599B1527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F83B966-FAC8-4917-8C7A-E94D5A09910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D27EB99-BD20-4D92-A955-12561F7B72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5D15399E-792E-4DD7-9938-ED39D14791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DB01734-5025-4084-B6D9-10E48B85EB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15B91A0-ED5E-40AB-AC53-C2E1EF12DB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DD77AFD-1E8B-4ACB-8534-505BF747B2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2A0774A-D950-493B-90D2-A573F6F33B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1615223-3CD5-4F54-BA37-5209B7806A5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D090216E-937B-412E-9706-7BB8F055AD9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51DC37D-1708-4A75-BCC8-CEB68ED239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9DF6E07-4984-4421-8827-79FE1FC1D0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72833F1-ED3F-4DF3-8D92-C32544E214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88EA5DC-E9E3-4CFD-91E4-8EEAE80818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ACF5873-4F77-40C5-92C0-60118B999E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BF8AC69-1F45-4C6F-9E74-D2C9B95F79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B92B7B4-C174-420B-BA3D-DE00261AA0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149CB91-6F11-44D5-85DF-49FDF3919F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B3E3A90-F6E6-46D8-9BA4-6B457CD9B1F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97E51EF-7A87-4946-9C0E-9BB2A3E717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0BAF1E7-466D-4DD6-8EFA-112FE509FA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F6C1FF94-6B51-4321-BC30-57E2872EBA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EB0ED65-6352-43CA-9AB8-2E52C1F0DB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B481291-C0DA-4D34-A3DA-D844131F78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EF46EF1-5A58-476C-BF0B-C638316E22F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3950773-3DE2-47D4-B0BE-DF252C9C0A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84B1F79-8C43-4765-BD63-F23FB09672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154EC4C-5A48-4550-9D77-49E9DBAF4EA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1C99945-EB21-441A-B865-614FE7BE60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4CEDC6AF-186A-4C5B-ACB6-8788885D2F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7F92A78-0819-49DB-92C2-602BBFDB662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4F2B8978-812E-4171-A26C-7BBF500CEF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010A22E-9F2A-4EF3-A642-67B2234584B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7153803-CC11-4EAE-89A5-9797E58EDD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B63E5BF-8E02-4908-95CC-59A4139E7AE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44E61436-A385-4CE4-8848-CD6995A10B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4D4C29C-D4C8-4FB4-B7D8-A8C825F054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215FDFF-41B4-4FDA-A38E-382B646C69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C68E11C-3F23-4484-8AC2-0CA4CBC445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9EDFC6A5-260C-4BD8-A565-FD7F872A96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3EFC107-5B7F-4AEE-86B7-B2378A7ED4E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F1E0CB0-2C6E-463D-A831-7F9686D70D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DA1E8861-E238-45E5-98C3-7BEA233CB4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ADD46DB-0A45-44AA-9AF0-57BC032916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4F79B3D-D5A7-431B-8889-2327CED9017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4D979A4F-0FC2-4578-AC24-2251C99E9DB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8155A1A-AAC7-4EEF-93BA-59013B10827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C0C1042D-7B45-47B9-A96F-7614881381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DBAC1FB-D700-42DF-BE5D-4DB96CD9252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3ECCE69-12EB-4E96-8CA9-633EB439628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431B353-8000-4D96-891E-61AC5A45E6BF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7C5C084-E847-4500-A38F-441D5096A980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B02835F7-5453-4EB4-8E1B-C7A35DA291C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10EBCF5F-AC31-4EE0-9989-6EC7208FDEF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2861466-410E-43AF-8E79-53BE03299D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6DF2484-1C98-4D49-A7EF-A02443FB3D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4ABD2F39-CB0F-47D9-9EF0-12A8F3CF66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9B311A9-7BD4-498B-ABF2-2D57F53A35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84478B1B-B099-4CDB-8993-98370487D5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BAD21CD2-5E24-44E5-8BA5-881CEBDDFD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873CF79E-0E87-4E69-ACCB-FF3E761965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B2B0E12-8BD1-49BA-8D68-E617EB7F21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DFAAB13A-9239-4C78-AAEA-07A7315A73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A666BC25-4A8D-4D5A-9DA7-535D6B9C5A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1430942-6BD8-434A-A3C3-B95E48CA305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AF9FFF7-3A21-42A3-86E2-C630E877A1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BE1EF703-4625-4662-AFBF-B8EBD71C52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330CF2C3-0C8E-44F9-A6E5-5EA1421E2D5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530D3AC3-8360-4535-8C4E-A5BD108E9E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67DFDD1-6928-48C8-8BC0-D2D58118AB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20143BE-37C1-4248-AEBA-3CBA34554A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8AFDE07-D0A1-49C3-9ADF-4352F93B0C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731B8C0-D5FF-4951-901E-ED39A6A71D0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334749D-50F9-4A25-9F91-AE3E8CC44C4A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4D470982-0B70-4E8E-9ADF-0011AAD68CA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5956141-3851-4B2B-B9C4-156973B507CF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7440F2FB-B09D-4E5E-87C4-FF4746044992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ED2CFEEA-36DE-4A9D-8200-007ADFAB3C69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CDAFAF41-2118-40D4-A4C3-7B6542E87A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DA4A593F-4B82-4FBC-B2E6-87853AAE46C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6CFA3A7-69AE-4AF5-8522-FB3C7FB578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56428581-2B4A-4390-9DEF-F57440ACF9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2247FC35-2CCA-4311-B0C7-A060433E13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EBA7F849-4638-4F9F-8088-89430FCF5C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B98227EE-E96F-4DA0-B157-EF64F08FEE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382E80F4-4D0C-4C6D-A34B-E05DBDEE90D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25010EA7-F640-4FC1-A4CB-02E6320FF9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7DED3AF-C566-4F40-A5B1-0DECE7F4D5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B785F305-71D2-43E1-B73F-50E48F5348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6A2573D6-07B0-4D02-A850-3BF755F62C0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928ABC5-2A25-4F82-AD23-28CCC4AD9C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F2AB2BB5-875A-448A-AE2C-24ADD92475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DDFA7698-8ED7-46CB-9AAE-879A2565BE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6438AB7F-046F-41C9-8ABD-6357BA3098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46E52729-C978-49F2-A3DE-3B9727D5A2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99346A0-1416-4EAD-8E6A-35B92A5F02E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2A746F40-6632-42CE-A047-B9F4FD3D1C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44BE62EA-33F0-49A6-B8D9-02AEEB535D2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D13B71E4-003F-4B10-A6B4-41284693B3F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5C47325C-6D53-41F1-AFD6-A614801CEF7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A0616269-F602-4151-9B40-F420CCB5F4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87A379A2-0E2A-4C21-B577-428B401535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E8E0825-9333-470B-AD87-D1A2FD4B8FC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76C468FB-970B-4A39-B7C8-9E550A0179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13DD17C1-2CCE-4699-A7A3-B26A25C81A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17CD8A2D-F43F-419E-8498-2ABF8E91280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A08EAF96-C640-474B-8CCA-C73F597436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91095147-9A9C-46C4-93A7-61E925A0E00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F1975681-FCE6-436C-8A2B-D6E3BFB5536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1FEA2078-41DC-4812-8825-623D787B26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B0BE343-E7DE-49C5-A645-A6356B427C5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3A95BAAA-97E1-44FF-9692-F4259FDC0C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9CF97E4C-0D8A-4374-A413-185BDA4FA5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6F8B0D27-8B31-41F2-B857-B2269AA31F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8FD8E47C-7418-4B0C-BE47-5F9C5FAB8C5A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EE941B6E-F043-4359-8F75-2A1FE51747F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34841C43-5886-48ED-95EE-812327069B55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EA4E044D-91C4-49E6-9E64-26A18C8193B7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5963AE70-B718-43FC-85E5-10158C67B16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AE12F0EC-364F-4F5B-A5FC-3616C0A1C3CE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1D35D85F-37D4-4349-BAF4-33DB37F0FE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4235086B-7CF9-47F6-B30A-4724F4E927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FD2B1D37-C27C-43D4-8F69-9DB3E44498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C452642D-8D2D-487B-A22D-334B2A80BDB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E18A3C2B-A620-4012-B632-20EC865BB1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787BC84E-6093-491B-8A94-B35A878452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28D9FC-17D9-46A2-9E64-82EFCCAA18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81DF41ED-A033-4483-A016-61ADFDA948D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9E850434-A128-4A2E-92D4-E6FFA8FE72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1A0D89E6-945E-4548-8862-CD722A8E48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24D262A6-670F-420C-93D9-DA6AADD734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AAE5D136-8123-454D-B386-8F25306CA55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D2366C5F-3507-43A6-9B76-F80AC78981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41C3F2FF-41FB-43E0-B88C-D023B923F25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9B2C30DD-00A9-4FAE-B4F6-A14998D8A17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19B1241-2E07-44CC-9F6C-5C07E36BDB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C577C15B-3A2C-4DB8-B2B9-78AB330D4A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3C20BD3C-4374-48B6-8BA6-71BF141DCE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278782</xdr:colOff>
      <xdr:row>0</xdr:row>
      <xdr:rowOff>83634</xdr:rowOff>
    </xdr:from>
    <xdr:to>
      <xdr:col>10</xdr:col>
      <xdr:colOff>87151</xdr:colOff>
      <xdr:row>10</xdr:row>
      <xdr:rowOff>132383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211DB5D6-D127-4343-B6BE-A480991517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700026" y="83634"/>
          <a:ext cx="2112954" cy="190728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703F4F-5B7E-4D6C-A278-721A196082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8FD2A9-53EC-4CDD-A6E5-E5D103A8D3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4ED26D-6BD7-4008-A849-71CF0E4A49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53833B7-36E7-44A6-9DD5-B4C4CE77BC1D}"/>
            </a:ext>
          </a:extLst>
        </xdr:cNvPr>
        <xdr:cNvSpPr txBox="1"/>
      </xdr:nvSpPr>
      <xdr:spPr>
        <a:xfrm>
          <a:off x="2876550" y="3838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9C5E970-E6DD-4F21-92AD-478D5530D35A}"/>
            </a:ext>
          </a:extLst>
        </xdr:cNvPr>
        <xdr:cNvSpPr txBox="1"/>
      </xdr:nvSpPr>
      <xdr:spPr>
        <a:xfrm>
          <a:off x="2876550" y="3838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6B9EBD-EF5C-4522-A81E-9BF7C380F08E}"/>
            </a:ext>
          </a:extLst>
        </xdr:cNvPr>
        <xdr:cNvSpPr txBox="1"/>
      </xdr:nvSpPr>
      <xdr:spPr>
        <a:xfrm>
          <a:off x="2876550" y="3838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84CAD5-51E2-4AC7-841E-ED45B24D70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D26DBA0-C01F-44AB-97E4-02C68FD5B8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B1D11F-D55E-4738-B5B9-CC9CEEA716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167EED-E7B4-4EA1-80C5-28C9C60FA9AF}"/>
            </a:ext>
          </a:extLst>
        </xdr:cNvPr>
        <xdr:cNvSpPr txBox="1"/>
      </xdr:nvSpPr>
      <xdr:spPr>
        <a:xfrm>
          <a:off x="2876550" y="4029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98050F2-C0FD-4EE7-8740-EC3626D558E0}"/>
            </a:ext>
          </a:extLst>
        </xdr:cNvPr>
        <xdr:cNvSpPr txBox="1"/>
      </xdr:nvSpPr>
      <xdr:spPr>
        <a:xfrm>
          <a:off x="2876550" y="4029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B5479AC-7B85-4FEB-A723-FAAC5481D0D7}"/>
            </a:ext>
          </a:extLst>
        </xdr:cNvPr>
        <xdr:cNvSpPr txBox="1"/>
      </xdr:nvSpPr>
      <xdr:spPr>
        <a:xfrm>
          <a:off x="2876550" y="4029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7B34096-EF1B-4DCF-BC76-14D5DA8C13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1BAEDD7-1539-4DDD-BFD6-C3C7C82D3E7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A00B5FA-7CB4-485E-8F9D-FF4BB7BD7F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C88D16C-D4A8-4DFF-AE55-365D5F769BBE}"/>
            </a:ext>
          </a:extLst>
        </xdr:cNvPr>
        <xdr:cNvSpPr txBox="1"/>
      </xdr:nvSpPr>
      <xdr:spPr>
        <a:xfrm>
          <a:off x="2876550" y="46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EFAEA8E-F954-40BC-9B16-1D01E571688C}"/>
            </a:ext>
          </a:extLst>
        </xdr:cNvPr>
        <xdr:cNvSpPr txBox="1"/>
      </xdr:nvSpPr>
      <xdr:spPr>
        <a:xfrm>
          <a:off x="2876550" y="46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EBDFCCD-C285-4D0D-AD23-CB14058AE2F9}"/>
            </a:ext>
          </a:extLst>
        </xdr:cNvPr>
        <xdr:cNvSpPr txBox="1"/>
      </xdr:nvSpPr>
      <xdr:spPr>
        <a:xfrm>
          <a:off x="2876550" y="46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8909CA8-66CE-43EE-87AB-4744BF67D45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B49320E-299B-4FF5-81F4-73BA95DFE1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DE11652-28F4-418C-9181-CDDEF3F915E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E153765-8CA6-4ABB-AE61-460B6108516E}"/>
            </a:ext>
          </a:extLst>
        </xdr:cNvPr>
        <xdr:cNvSpPr txBox="1"/>
      </xdr:nvSpPr>
      <xdr:spPr>
        <a:xfrm>
          <a:off x="2876550" y="4981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332BE46-5B5B-4CD8-986B-E615C0BD6145}"/>
            </a:ext>
          </a:extLst>
        </xdr:cNvPr>
        <xdr:cNvSpPr txBox="1"/>
      </xdr:nvSpPr>
      <xdr:spPr>
        <a:xfrm>
          <a:off x="2876550" y="4981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8CFFC8F-1901-4EFE-94D1-6EFCBBBB1A4E}"/>
            </a:ext>
          </a:extLst>
        </xdr:cNvPr>
        <xdr:cNvSpPr txBox="1"/>
      </xdr:nvSpPr>
      <xdr:spPr>
        <a:xfrm>
          <a:off x="2876550" y="4981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C77B716-9A4E-4599-B0A3-F3391127141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EC6D749-6E3B-4101-928E-111F2257CD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72F330C-8B8F-4B9D-AF09-619E7024876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867D168-5D18-4B33-87BB-2DDEA1EA530C}"/>
            </a:ext>
          </a:extLst>
        </xdr:cNvPr>
        <xdr:cNvSpPr txBox="1"/>
      </xdr:nvSpPr>
      <xdr:spPr>
        <a:xfrm>
          <a:off x="2876550" y="46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E93A8AF-E3C0-4CFA-9C7E-50146E59792C}"/>
            </a:ext>
          </a:extLst>
        </xdr:cNvPr>
        <xdr:cNvSpPr txBox="1"/>
      </xdr:nvSpPr>
      <xdr:spPr>
        <a:xfrm>
          <a:off x="2876550" y="46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B447445-5FE1-4AAD-956E-6718E228AA25}"/>
            </a:ext>
          </a:extLst>
        </xdr:cNvPr>
        <xdr:cNvSpPr txBox="1"/>
      </xdr:nvSpPr>
      <xdr:spPr>
        <a:xfrm>
          <a:off x="2876550" y="46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B17123D-910B-44E2-A3B4-58B3B08BE4C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F930A3E-76B3-4B78-8CA7-240DF106601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3E0A29F-FE95-40C6-AF71-9C550C074C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2EC1C42-D0B4-4191-BD23-171F5E776D5C}"/>
            </a:ext>
          </a:extLst>
        </xdr:cNvPr>
        <xdr:cNvSpPr txBox="1"/>
      </xdr:nvSpPr>
      <xdr:spPr>
        <a:xfrm>
          <a:off x="2876550" y="4981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3B1EF9E-1D24-4AF7-99D7-9CFD1F921406}"/>
            </a:ext>
          </a:extLst>
        </xdr:cNvPr>
        <xdr:cNvSpPr txBox="1"/>
      </xdr:nvSpPr>
      <xdr:spPr>
        <a:xfrm>
          <a:off x="2876550" y="4981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C98E7A2-8E5F-46DA-B1EE-544E6E680535}"/>
            </a:ext>
          </a:extLst>
        </xdr:cNvPr>
        <xdr:cNvSpPr txBox="1"/>
      </xdr:nvSpPr>
      <xdr:spPr>
        <a:xfrm>
          <a:off x="2876550" y="4981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C0A6706-82FB-40FE-8585-B9FB1289E4DB}"/>
            </a:ext>
          </a:extLst>
        </xdr:cNvPr>
        <xdr:cNvSpPr txBox="1"/>
      </xdr:nvSpPr>
      <xdr:spPr>
        <a:xfrm>
          <a:off x="15068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2EAC38C-9E7B-46C5-BF8C-92FD2E456E40}"/>
            </a:ext>
          </a:extLst>
        </xdr:cNvPr>
        <xdr:cNvSpPr txBox="1"/>
      </xdr:nvSpPr>
      <xdr:spPr>
        <a:xfrm>
          <a:off x="15068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18E0E13-7895-4FDB-A5E2-9C22B616AE54}"/>
            </a:ext>
          </a:extLst>
        </xdr:cNvPr>
        <xdr:cNvSpPr txBox="1"/>
      </xdr:nvSpPr>
      <xdr:spPr>
        <a:xfrm>
          <a:off x="15068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EA2628E-590A-4F6F-B8DC-A3C605E4A667}"/>
            </a:ext>
          </a:extLst>
        </xdr:cNvPr>
        <xdr:cNvSpPr txBox="1"/>
      </xdr:nvSpPr>
      <xdr:spPr>
        <a:xfrm>
          <a:off x="15068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6FF9340-D67A-46E6-BB97-DB21EC044C04}"/>
            </a:ext>
          </a:extLst>
        </xdr:cNvPr>
        <xdr:cNvSpPr txBox="1"/>
      </xdr:nvSpPr>
      <xdr:spPr>
        <a:xfrm>
          <a:off x="15068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D60C6EE-CD85-4CAD-8978-78BF9B396C6E}"/>
            </a:ext>
          </a:extLst>
        </xdr:cNvPr>
        <xdr:cNvSpPr txBox="1"/>
      </xdr:nvSpPr>
      <xdr:spPr>
        <a:xfrm>
          <a:off x="15068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589C86E-2E00-4B70-BF98-877ED42D78EF}"/>
            </a:ext>
          </a:extLst>
        </xdr:cNvPr>
        <xdr:cNvSpPr txBox="1"/>
      </xdr:nvSpPr>
      <xdr:spPr>
        <a:xfrm>
          <a:off x="2876550" y="479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E03BCA7-F2A5-4241-AAA5-D10C55B47DE1}"/>
            </a:ext>
          </a:extLst>
        </xdr:cNvPr>
        <xdr:cNvSpPr txBox="1"/>
      </xdr:nvSpPr>
      <xdr:spPr>
        <a:xfrm>
          <a:off x="2876550" y="479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4E1E61F-0290-4424-A132-66BC3674AC73}"/>
            </a:ext>
          </a:extLst>
        </xdr:cNvPr>
        <xdr:cNvSpPr txBox="1"/>
      </xdr:nvSpPr>
      <xdr:spPr>
        <a:xfrm>
          <a:off x="2876550" y="479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0D306A0-CA04-43B3-AAC3-3C8ED255336F}"/>
            </a:ext>
          </a:extLst>
        </xdr:cNvPr>
        <xdr:cNvSpPr txBox="1"/>
      </xdr:nvSpPr>
      <xdr:spPr>
        <a:xfrm>
          <a:off x="2876550" y="46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62DFC8F-A000-4B8C-98DC-816039AB096A}"/>
            </a:ext>
          </a:extLst>
        </xdr:cNvPr>
        <xdr:cNvSpPr txBox="1"/>
      </xdr:nvSpPr>
      <xdr:spPr>
        <a:xfrm>
          <a:off x="2876550" y="46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D3C769E-D6B8-4CBB-A062-49CDE553BDB8}"/>
            </a:ext>
          </a:extLst>
        </xdr:cNvPr>
        <xdr:cNvSpPr txBox="1"/>
      </xdr:nvSpPr>
      <xdr:spPr>
        <a:xfrm>
          <a:off x="2876550" y="4600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41133BC-8D8D-4E2D-AA10-597D54C68EA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01F4488-2A65-44F1-8E19-5D36A74F63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56C58E2-AEA5-406E-9D61-F78152F93C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30D1334-F737-4C0F-AC6B-E03C00A829F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2BFC0BA-CEA1-468F-87DD-6BF7DEDF0A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27B0B37-5D24-4771-BD48-C1A5A6D77C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C4F47D7-FA60-4C11-81B5-41AE336354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6BF98F1-2661-4FF4-B5F1-6329121B93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1D6A906-D833-4A94-8135-BE13148EF0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D588385-1E54-427D-952F-11091F24D0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C33ABEA-801B-4C51-94F5-730CF4A205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8B1670A-3EA2-45F7-890B-25DABCA8E2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EC3ACBE-E8BC-44AF-8805-51A7BAE821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B30AE42-A588-4DDC-956A-5139F3BBDE7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D373268-9AB6-42A0-8B19-8A4AD4CDA6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CC58B9E-909E-4D65-9506-540C2B82101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E16A13F-528C-40A0-9CD4-04FCD84DD4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29FBF5F-E580-499E-A2D6-71D0BDFFB87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C4B9D7C-C8C8-4653-85F5-2DB80A88D80A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DD48F2C-A885-49D2-8ABF-20FCC4F22CBB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0E8AA9D-7514-4639-96D9-E5CBC68DB58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6BDFD55-4DF7-41E7-8EF4-905BEE94495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DDF4969-A59A-4EAF-9E0B-5895D16EBBA6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3718848-B2FA-423F-90AF-69DE260E8C6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1DA682C-F54E-4998-841C-B22F211C01F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9472BBA-B4B6-41D4-B63F-3D58379AD6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64D59D0-D972-40F4-B346-E60DFCC48C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5060E57-649F-4901-A63C-DC88E83BEB4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FA8DF1C-84F1-4D8A-9117-2A2ADB9CECF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1287ACB-DCB8-4D85-8934-19EBCD320B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9B0C905-79BC-41F0-8868-DA9F7C28CA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59C3CDA-9302-4711-B070-BC8CCFA9D6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E3A95760-38E2-4E96-A883-DD24D8A7550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63FC1C6-6884-49DE-906B-82C053A958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BE9AD48-A9C3-4D39-AECF-F3E2B82C70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1BFB3AF-0D3E-476D-A917-FED5D8EF87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48465A4-4133-424B-BC54-1B437EAF1D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E1484AC-5177-4D31-8E74-6E81EB665CF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5B13044-E943-4802-BBCB-725B95F923B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E001747-C673-4101-BA4B-1122B063520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CAE408D-51C3-4C76-9838-D309F60584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E8DC69D-6F1A-4ED6-910D-B88331276D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7A5F9D8-F7EC-442F-A697-3827EEF81AF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1E54420D-1361-4A0F-ACE1-306F1C8E386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03C8536-A5CD-47D9-A9C2-8AFC9B6FB49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E2EAB50E-5797-4313-A8FC-2D8791AD65D5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52379DF-5587-4F67-8E66-14423248FFA2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5CA7086F-66A1-4BD8-A781-44B966859FA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33293164-66A0-4572-9605-DF4E1989A8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AFE6224-AC8F-4F5E-A095-3DA2F2939D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F248353-85BB-4B31-BA15-2077C2472C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1CBF09B9-62FA-4A1E-8EEE-1F04F6327F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6840253-5B1D-4EB8-89EF-0BD9B515F47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B5A6372-49E8-4444-8A63-D10C58D30E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676A21A6-F40B-47DC-8E25-5BA045B4B7E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852C5A22-6D3F-4340-B46D-D1DF3DAC19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0DEA62A-07BA-4378-86C2-B1D3F8ECA9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517340D4-99F9-4570-AE8D-0631F2E006C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4084B4F-791E-4EF5-8F5C-89AAC1E929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A1B7888-B9D7-4B8E-8578-6181FDC38A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7FFBDC96-8487-43E7-A1EA-DA51291C12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6C9FD19-1C09-4F59-B7C2-D3F488A05D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4676B851-03EC-4973-870F-F87826977A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15CCEC5D-1008-48FA-9673-36A430579AD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897538F-1D9C-444C-A1D7-1FDE7C50E58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2BA7700-37E0-413D-882F-8A113D97CD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8168E201-A53D-4781-8500-7401706513C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69048AD8-631E-4384-AB96-B7A5BDF18B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C0DB37E-8967-4F7E-BD63-47C66671CF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58E87982-2A5D-4E70-A40F-F46E2D26CD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8763E03A-CB86-40AD-A3C1-27FDCAFDAD1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E168472-F116-457F-8F56-06F3DA47AA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81B7403-03C2-4187-9462-0D7FBA62FAD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654BE688-8657-45EE-A64B-CBEBE37CBD0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DE5B83A8-AED5-472E-B547-D8ECB9780C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D41B03C2-2DB0-4356-A9B0-3DFA262A2C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7C9AE069-A2BA-41E0-8E6B-016D44224ED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5F299A0-4679-492B-9E9F-2D3EB36007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83203D9-0AF7-4C8E-A75B-1F3557B02D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B1176549-DEF2-43D8-BBED-662E6FBE6B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7DCECB68-276D-444E-91A2-137751BFD9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F1484A7-6076-4A21-B7A1-EF5099CA4E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A8248366-F415-418B-B1AA-F6FA778EB2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3A74B72F-6822-439D-8F91-1BF213F3A8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0677270-C351-4D2A-8768-0598F55350C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30721561-982A-4854-B86E-0F6FFD6B145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CF28C1F-5CC5-48AD-BD04-43805E0455C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F099376A-5F3C-4E33-89E4-0731780FE928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79DCB389-2FD6-438C-BF71-C1509CB5CE6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7090C032-FCAD-423A-93F0-183F877DAE9B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61B2C5CE-9C18-41F2-AC79-1EA7A22243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5D2DAB7C-899A-4505-88ED-4E19F5F108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7E78C24-5D88-4314-AE17-C51495EC9C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44E7812D-98FF-4322-B6FD-4CE58EC1F2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79E5146B-3937-4374-86CD-7FAFA0AE9B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B9AA2E2-80AF-420B-B767-F288F20DD38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6111A8C-4854-4F3E-862D-699F94916D7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B1E8FE6C-384C-4F14-A714-E3A8CFE0DBC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F4BC394C-C624-4FBF-8765-3D56F09166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344198E-293F-4F3D-9110-C80031B202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86E443F-7513-414E-924F-ACF2AD3D8B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08E8BB6-BA5B-4D10-B042-A1A3DD40E5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912D9992-7D8A-40F9-8904-36AA2CCCEE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D342ED05-11DC-498E-AF75-4D161709A0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82C29899-9093-4B9A-898E-BAFB450140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F5E8ADC-782A-4EAE-BC88-E06FC2D2A04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343A76F-40FA-4E14-8E5D-CED20CBC235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3965869-A9BC-483A-A5FE-819FCE8917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798286</xdr:colOff>
      <xdr:row>0</xdr:row>
      <xdr:rowOff>24190</xdr:rowOff>
    </xdr:from>
    <xdr:to>
      <xdr:col>9</xdr:col>
      <xdr:colOff>840599</xdr:colOff>
      <xdr:row>10</xdr:row>
      <xdr:rowOff>60475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4E9672C0-E217-4AB1-B886-96FA18427C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7874000" y="24190"/>
          <a:ext cx="2050123" cy="185057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46FAC5-6DE0-4882-94E5-10DBE939B1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0CBE82-21B7-45AF-9A4C-23F40DDFBA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B2B256-D7C4-410E-93B6-39395E4D7A5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2F5B5B-38A7-4722-85D7-0EEC93989DAD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BE8293-AD43-4091-8719-5E7504B2638C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F399E3E-EBBD-44D9-8A06-EC88901C231D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99AFA08-E0A6-4C71-AEBD-7605C8EA32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084D907-C6F1-4323-A97A-D4592273945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2F8563A-C159-4DEC-A357-A9C2012A79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A13736F-25AE-4DB9-BD91-AB24B2BDE70B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7CAE908-6ED7-42B6-8CA1-3EB2AD434869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09EC17-9BB6-4078-BD57-387F593110F9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4BBFD3-4F10-4465-998C-92FE8911E51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4CF0A36-043B-4852-8235-A74E8D9544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D8B9CF-76D0-4C4C-8FF2-AAF00EC0A0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159ED1B-F057-4E5F-AA42-2E36040BEB9B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AEDAB88-6E97-491D-8319-7FC65FF9B329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9B53887-33CA-4704-9B87-FEC31C1B6171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BFDC3BA-9C97-4989-B6B9-79169C811FA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7304802-5D19-46F5-AF07-F9B0FDBD77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D24D411-C829-40A6-BD25-C60441364B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DC09746-6295-40D5-B9A6-7A82813D2BDD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44ADB95-1FD5-436E-B2D0-C7CEA4560146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D0BB3DE-911D-4FCE-9FE0-53ABB3809C4C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3567AA8-B7D1-4BD0-AAF8-B6A324343C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D754177-37B6-4198-A4A6-EE73B0BF05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A064B7F-C3E9-459B-815E-CBB288069FF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77309C2-11E4-41CC-998B-D1C634F360B0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CCDE4E8-934B-4E39-A066-6663C465D7AC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21FC269-3392-44D5-9A60-BE680E906CC3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EF5E8A4-F993-49A7-92A7-FF01114B6B7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7370DC1-8FDA-46D3-9ED7-9A01AB101C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5B80CF4-31DF-41A5-9123-C2FDFE98DB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A531E02-9C0C-4893-BCB6-1D2AD771D7F6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F370C1B-C9C9-4045-B88F-374C58B57664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23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232073E-C075-4126-BE8C-5F6F74386CB5}"/>
            </a:ext>
          </a:extLst>
        </xdr:cNvPr>
        <xdr:cNvSpPr txBox="1"/>
      </xdr:nvSpPr>
      <xdr:spPr>
        <a:xfrm>
          <a:off x="2876550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36BA72C-97F0-46DD-99D4-1EA334BC3CCD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8A479B7-0DAD-44CE-BA5B-26253EC85B91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C1E104A-E7B3-4C34-BC23-371524F3657F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1678E98-313E-45B8-9D8C-9990ADF59E7F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EFAAB8F-1972-4432-9FE3-214C7299322E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6465EC4-41BD-4924-B552-AD5745CA69D5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B19E6FD-504D-489A-ABE5-A39CA5B9D37A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7614A50-F3E7-4DC7-8220-547D7DEB407A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22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0A35560-2BA3-43F8-8B15-046ACD3E9A3D}"/>
            </a:ext>
          </a:extLst>
        </xdr:cNvPr>
        <xdr:cNvSpPr txBox="1"/>
      </xdr:nvSpPr>
      <xdr:spPr>
        <a:xfrm>
          <a:off x="2876550" y="4991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40B555D-72BC-4C5B-89CD-A49C27E0F7B2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ABCC76E-367A-4D48-A9B0-FB345890DE41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C8B6E10-0CE1-419E-8FE3-DC3B74D84FC8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DF0BCA0-563A-4D82-9F59-DCEC4D3CE3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7AFF866-3772-420C-B4D6-0292BA59955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71BF364-AFFA-44A2-AEF8-D9D7341C81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05FBC2F-309B-48CB-8550-5585A40D4C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5084713-140F-4036-9A38-F0424A0904A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1D8B6E6-AA4A-44B7-9E09-1C609AD26E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4183814-DCE3-47D0-8529-70B2B6FFA9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EA24496-3CD7-4C72-A969-537964649D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42A19C0-F8AA-4309-AB72-77E8E9D07FF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DAC2E9E-52DA-45B9-8AEE-12C4BA4FDE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58C850C-0F1A-49AA-90B6-45064276B88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94F7611-C6E9-4165-A6E7-784B7CC31E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B222692-FB82-4E2B-98A2-B6C9A481A06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4885AEF-869A-4B4F-9F28-B5BCDCE157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E9DDA17-D305-497D-87CA-5692AAA1CA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7BFFB35-E51B-4FA8-A182-EB484B4E1AF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DAC1057-DAEF-425A-A924-6302AB2D904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643C035-7EA9-4BCB-8697-478832C95F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CA7746B-71C4-47F3-AC58-CC662F518770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3F986F3-FA46-4F6D-9273-3BD589A16222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D2316FF-ED6A-49E2-A129-C8B99F1409AA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DCA90D7-4FB4-42B9-AE4A-B7E52DF7AC5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ED9CE82-B12D-4C3E-9E8F-298C2BCF2435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0783B78-18A8-463E-AFD8-0FC6BF9660FF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238E761-66BE-4081-9C7C-4BF6929A201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E21F6CA-DC8E-40D2-B4D7-DF1D479D63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23E4D90D-A427-4DF9-A103-B59F732258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4EEDB23-C322-400F-AAEB-D8E61FD55C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53A559D-341C-4FCE-AB8F-1EAA015151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C869DF1-6CB2-4F84-9A6F-25DBDF2D514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C45C06B-5CFA-4D38-BA42-B8264307B19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27CD395-1F97-45DB-AD27-CFCB4B1D233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EE9A5B9D-1FE3-48B3-A917-5ED69D07F4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5456E46-BCE8-48B7-80D0-6507540594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DC7435D-046F-41F7-89AF-7B93AEC021A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BC6374B-53C8-446D-8306-2F75D9E50E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93A9D4CE-6EA0-4CFA-9CEE-2C181DC363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442CBF2-825C-4A0C-AB28-3B99C73A8D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0EAAFF3-E6B9-4327-B517-561BFC386A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29B3DE04-0A89-4358-B906-D0B6313D26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08334CE-5721-4215-A4ED-7954DA66F28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42E68809-EFB8-4D91-AFF7-D04E3723F1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BE8A9B3-F13C-46C9-9566-4A9B04FC9210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FABEE0D9-1524-4CE7-81E2-5DF99A5C19F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E8A00B2-FA82-4DC6-8880-059C8F654CC8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92E9C1EE-64F7-4256-B943-95C3738707D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7030643-1207-4739-9160-F3F3E32169D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1C32C51-430A-4AAC-9B49-A07CBA5EECB9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3C0C6C44-B5BF-4926-88BA-A979110E0C9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B23507E-269F-4BDF-8EC1-011C44B7CC7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F46A5E1-16AA-4EFF-87E0-4EF49EDFB1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FA00FB03-44C7-4564-9F25-3C2E639CC5F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C7B32FCB-2D2F-4C49-A6BF-031772AF24B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D5A6031-D992-44DF-84F9-65B27D3468D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95155C5-2881-4004-8B83-B77FFB075C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24B2A4D-092C-4247-9B69-60177D022CE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385BCD8-9862-40F3-A152-7A3D6F831E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AC6CA724-C629-48A1-B1FE-81472B132F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CEDEAE96-8CC4-4E8F-AF2E-9DE55356F7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408C191-AE6F-4CB4-B437-EA42268138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69D9041-9C5B-4816-BB50-8F62CBCC50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687F6B6F-DD89-44B7-B9F9-6E86648453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A9C5850-951B-406B-B76D-F9E1F7C13E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616D9BFB-9E80-4D97-9782-5CCB88AB07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688EEE25-E749-45E1-9F46-BE71AD8B5D5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202E769E-C0D1-4244-BDE5-CFF6B0FACD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E26458BD-F5DD-4B3B-BC02-EFCC6D74D3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4E9F9538-BE5A-4C8C-B2E6-03A103FD1A5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31FF7D3-46AA-4F4C-90AA-E4FE582C6D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21193C25-3FD0-4BC4-A713-61901E9CCF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FCDC48E9-DF35-4265-AE1A-BEF3C33D87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5E5D9487-815D-4064-89B0-3212545517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BA963053-6AD7-4AF2-96D6-BEE3793240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97CBB832-D296-48E8-A16D-0130F43800C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E781639E-D8D1-47F9-A41E-879230AE3D3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917483A-1E69-4881-B598-4C1A77504F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D698A2C0-8217-462E-9807-D932AC58F9E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7322096A-1048-4030-AB51-7C6585D716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BCAECE05-3DE1-4611-A642-A406B50C74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17AFFA8-0953-405A-98D1-94ADD59644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8697A6BE-5E4E-44CA-917D-536904F624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5B77EA0-9B8F-47F0-BAF4-E24FB4453D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34ACD374-C92D-43A4-970B-CFAAC57287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3527D45A-1A51-4D48-AB9C-0292FF5908E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AC3C73E0-8523-49A0-9909-339671CD4C72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EAF6DD23-86C7-49A5-AA37-31721CF3DBB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2228CAD5-CA42-4124-B26E-10ADD7E1FAC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46A67FEA-360F-438E-899A-F34134E1C63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43022EDD-93EE-4916-B084-48F646EED2D4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444903B-2036-4649-99DC-0E12357EACA9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95F8EE8-C515-404E-A9D4-653A421655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2E9415CC-E8D2-4FBC-9F32-2CFAAF215B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6A8B49EF-3467-4B8B-906C-736EA52E557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44F375F9-86BE-4855-8EBD-5B691813DD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39306036-A537-4CB5-9119-DA4670A7DA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72CCC620-0FCA-41AF-99AC-FE2F4822140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7A5839D-0E5A-4A84-B311-9344504C72D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1F34DBC7-F65E-4F48-B1DD-2BC6ACE065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188071CA-0BC0-4828-B6CA-1A526A0E8F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20C3BD6-D9CE-4E30-9048-33180AC666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CD19537C-2B59-4857-957E-DCFCDA4F59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45745F82-425E-4B66-808A-BE7DB32F9D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49B23911-A1FF-4880-8AEF-280DCDEDD2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1F03B361-7434-41C7-859F-CBD3A175D93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A5436B9D-A80A-489C-9C69-5C896F13F6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A2F64F8-E9A2-45BC-98DA-0F482179A74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3E92565C-5529-4BC9-B277-886F8D2F31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C2A83A22-0119-4E1F-8D80-421A29612F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994834</xdr:colOff>
      <xdr:row>0</xdr:row>
      <xdr:rowOff>63500</xdr:rowOff>
    </xdr:from>
    <xdr:to>
      <xdr:col>9</xdr:col>
      <xdr:colOff>635000</xdr:colOff>
      <xdr:row>10</xdr:row>
      <xdr:rowOff>108098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1B2644-E8D5-4358-AEC1-154D29BC10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847417" y="63500"/>
          <a:ext cx="2042583" cy="18437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3E0008-34FE-4600-B79F-FF11192E23D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D3B4F9-F5BF-4F00-9739-6245C5E2EFF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F9B7CB7-B84E-4434-A830-B4E426B1512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5C03E9-948B-451F-B8ED-44DCA907762F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B0B1AC-CDE0-45BC-BEFD-44580BF84440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003F95E-C524-4AA4-B1C6-49B0D9D33BC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7CCABC-BAA2-4800-8F09-5C79205E3E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18D17D9-CBC0-4084-86C2-17DC93CCF9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37C1551-B9B2-44E9-9E9C-778CC3235B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923D410-D99C-4A6F-8EF8-88D6C90EFCF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3A7B3F5-BADF-4105-BD9C-7DF6553883DE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A3835E6-8050-4DD5-96A1-019E0001EC2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D011D0B-5481-4915-9AE1-A5FEEA19AFB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9AD2917-D6B0-4139-A62B-5709D8A700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9449E10-DFE8-4038-BF0D-83BA48D6EE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6B87613-AD2A-4039-AE81-94DDB2940339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EF1F1E9-9055-40DD-9226-D80C0E503969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F6408DE-B766-4D42-A480-3F0B75B1322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BDFCB01-D132-4C81-AC36-C4A06D2A44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A374CDF-C1D0-4285-A101-50B2A4CFA7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C1822D-11A3-41A4-96AC-6F7D37EC85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4241F83-BCB7-4F26-8E72-01BE01B3D97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C681A4E-0E48-4921-B797-EBC74F5F4C19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5D10E5-CAB7-4C16-89B0-48EF6AC9170C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94BFC3B-0B30-4AE5-8176-726B722FA6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5A7234E-A20C-4F37-B32C-DCDDA33BB1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25AC64D-106F-428D-A1BD-F102566740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8607AFF-9FB2-49E0-BAD2-9B845C378226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06E375B-9FAC-42F0-AB59-5D0D2C1CB15B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E6FE71E-5ABE-484A-939B-04BFEBA4DB60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8B2F664-F507-483B-AEC1-879ED55BF1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238ADA4-CB89-4325-AF38-31F8F4A9E2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1D01C99-DFF9-412B-9C7D-3192F8BC52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3B01C95-1546-449B-B91D-8D5250758AAB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089799E-D83C-4D5E-BF8F-697F8F56E390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BAC1914-7836-4AE3-A292-DA3DB60609A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65A51CA-AD79-4893-BDED-BC12BB8709B5}"/>
            </a:ext>
          </a:extLst>
        </xdr:cNvPr>
        <xdr:cNvSpPr txBox="1"/>
      </xdr:nvSpPr>
      <xdr:spPr>
        <a:xfrm>
          <a:off x="123348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9A42369-771F-49E9-B92E-2CBCA8D6E14E}"/>
            </a:ext>
          </a:extLst>
        </xdr:cNvPr>
        <xdr:cNvSpPr txBox="1"/>
      </xdr:nvSpPr>
      <xdr:spPr>
        <a:xfrm>
          <a:off x="123348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10A52F7-5E5A-437C-BE22-20E41943734E}"/>
            </a:ext>
          </a:extLst>
        </xdr:cNvPr>
        <xdr:cNvSpPr txBox="1"/>
      </xdr:nvSpPr>
      <xdr:spPr>
        <a:xfrm>
          <a:off x="123348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EA15805-70C5-4472-A21D-43862FB63D89}"/>
            </a:ext>
          </a:extLst>
        </xdr:cNvPr>
        <xdr:cNvSpPr txBox="1"/>
      </xdr:nvSpPr>
      <xdr:spPr>
        <a:xfrm>
          <a:off x="123348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7F377E5-7ABE-4689-B8AC-3C8D55AB9C84}"/>
            </a:ext>
          </a:extLst>
        </xdr:cNvPr>
        <xdr:cNvSpPr txBox="1"/>
      </xdr:nvSpPr>
      <xdr:spPr>
        <a:xfrm>
          <a:off x="123348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B1CC1C8-3DE8-4EC4-A8EB-FB61E8AB129D}"/>
            </a:ext>
          </a:extLst>
        </xdr:cNvPr>
        <xdr:cNvSpPr txBox="1"/>
      </xdr:nvSpPr>
      <xdr:spPr>
        <a:xfrm>
          <a:off x="123348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AD685DC-F633-49DF-BA15-F94F4604537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986795F-21A7-42FE-A785-A6B14D01AE36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40F8AD7-754F-434D-AE9D-BDD4BB977740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EFCF355-4DB8-4083-8E7B-A278081DC23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F20F4E-69D9-4033-BE1D-40B163783426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688D770-2207-4DB4-83B7-761D398887AF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5110F31-E423-4EA7-8382-A29A49DCFF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036C06A-FE19-4D5D-8B54-65E40215A4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96A1900-BA89-4281-BBA9-108EFFDEEB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4AD91B9-531D-4526-BC58-C79564C008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254EEE5-CE29-4A57-A62C-95B2F6B6FAF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641DA7C-9EBB-4E48-8786-639B2F6465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E4825D1-7F60-49EF-A636-AD4F1367F4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6F36468-4058-4A8A-9405-D1EF1F0EE6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D958B44-094B-4BE3-A044-73D5858E23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85B201D-FC9C-4E37-ABAC-37B8A4878BD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5DA69F0-1735-4630-B42E-1116CBDDA6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0E2956A-261C-4968-B124-EED4F56FA76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4BAF590-0033-4515-8800-ABE25E1E52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12E9E2E-9121-469B-8F57-2A6270E95B7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5E2AFB7-B189-4E82-8111-FB6B425405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A24CE3A9-A335-468C-A690-6DC43355EF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67DB530-FF9D-482C-AB09-0ADF2B994A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C66D2E8-B8FC-4F18-A3C0-6A6B0A1C64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35B0184-DFFB-422C-A939-FD03814B06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FBB03F9-B242-4ACC-A0E2-DE77A4793B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F888721-C076-4A05-9816-985D11881C1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355A0660-0F95-4BD6-A5CA-7E3F7FFF1B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80A61DD-E081-47EA-B0C9-88D3E6A738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C83AF47-AE2C-4F0E-BAE2-3AA39A2788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EEB18D8-001F-46E2-8692-E9B4B146D8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7603F7C-170F-4B15-9E94-D93BF524762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F7ED24E-D25E-43E5-9C67-366DFC387C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0C29F88-53C0-445F-A795-170B574E83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68A290E-D4A2-4A30-9BB7-BBC2601D132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B3E4F19-D042-44A7-A384-59EBB74CF5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432C351-D58F-4BCB-917E-106B8ADFD14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A9B17F37-E481-45C6-A30F-04190574A1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4C74A1A-4B94-4B45-AE7A-F1D3D65A18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D643E82-1022-4019-9320-74C51FA6EA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965CDAF-BB41-4FA3-A6D3-F078210C824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C50CBE2-F866-4FEF-9295-3F52497C54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D079CFA-9367-49D2-9800-E6713D80D2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6DC42EE-6811-4C48-8259-2B31B73846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A173782-102D-4E4A-BE10-D387507FA2A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4C39E29-6BC9-4573-A2E6-279ED709C15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FB92F53-F738-4B54-968A-A3FE376074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AF0B78E-BA57-428C-8F4C-4E6060EDA0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84C0DD0-BF72-422D-A0FA-7A06F78C412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94B3705-7C27-433E-A06D-AD675CF63B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621EABE-BEE6-42EB-BD63-284B94CCB7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AE88AFF-CCB6-4EA7-AD3E-06BC2646D7F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99E5F64C-BC06-4FC9-A1E9-34739BC343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A1CDF30-34A4-4C13-82B1-24F850BBE9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9E3F633-D80B-495D-B423-053AE81BD6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E087BD5-A4EF-453B-8836-2E0510AF83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87DE7C4-46AE-4016-89C9-AB33A730892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258F865B-18BE-48DF-ADA1-DBE7C2529B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F6AC6EF-E36A-43E3-9AEB-58F83DF3FD4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1D12153-1820-4AE3-B21F-4F43D7DDEF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75716A6C-9DD3-4930-B04E-BA39923477E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58C06AD4-FC17-443F-8FC3-4F6A1E2EBF78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DFEFFCF-C53F-4E83-AD6A-8DC6FBF0E2D1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1016FD9-BB8A-49B3-A631-F0C7CCFE6BDF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1EA2A54-8BD5-44C8-80C1-C08A09E923C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FC43E5B5-BAAE-4730-BBDF-BFE7771ED402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85CDD7C-0B1B-4E94-93B0-4A64FC9EDE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F08E1EAC-89D7-4B22-884C-C410F07C74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6FC23EE-67A7-4FF7-B4FE-6052D3EDB79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C7DBB75-2BDF-4356-B0F1-731BDAF4CC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AD9F5804-443F-49E6-9B5B-71000DFCDF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9D2B3AD-2054-4D73-A271-5DF32571FF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2CA4401D-2247-436E-BBCC-6C049FBDCED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C1DB4F28-6368-4F64-A205-5FEB9CDC680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3CC20A20-7539-4B2B-A9AA-67C62D8E88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66C58842-5F47-41D3-84DA-B0F5E828F6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B4BB54F-54F6-4E7E-BAD4-7A0B8B672E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DDB4EA24-74E8-4550-B7EB-7E9D1AD2D42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78002069-1397-4B81-9B3A-54A93B73A8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62312290-77AF-4635-B3E3-6D8CCE2371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CF429359-C827-4A10-BB10-B34006088E5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D1D0DD62-EA8A-452F-8606-4F1BAD1BA8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DB20540-901A-4010-A15B-84F00F5DE8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7CBBE5E1-D442-4E3E-B1A4-3C67ECF2AA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B589984E-1408-4948-B68F-968A6DC52CF2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CC2C60E1-D246-4957-A4F4-9D5BFAA4F840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ECD6F68-F964-4AFA-8511-EEA2BE3A8B5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9DE7055-C909-43AF-B840-9CC929D916ED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1B51B4F4-3DC7-4901-851A-A607ED79B77C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C20CFEE8-26DC-4E3D-AA9E-5A68047ACE3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DAC2921-D7AB-4993-9E37-A46DDEAE0E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9FCBFDF0-8650-4A77-AD5F-45401D5BBF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9ABE36BF-08AF-4D8B-9B94-034AFFC5C9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BE890C9C-E343-45D6-A37C-237CD77073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927774E-E217-44BB-8EB4-01CD964784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D879E8F5-DEE3-409C-BC0F-4C593D89DD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EB64E7D0-19CB-48A7-802D-F6B06EEBB3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AB8049C3-5D3C-494B-9472-DF040F8FD4B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C39ABBB-6E27-4D07-8CF7-3386C4DF17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28F09EE3-A597-4E86-89B8-1B8B7FE9092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2D71A086-D7E1-44FF-9E19-5DE33FE625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80C1D6C1-9DC4-43B4-B8BF-AE0CFF67902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5C494F8-FDA9-4F41-8CB2-2120D67766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799F471-A425-4E80-88A3-E6BC5DF9336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BA1081C2-1720-48EE-AAC7-D0E6CEB943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EF28629-33CB-4F48-9AD0-8DD50159F8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85C9395B-DADE-43FB-82B5-FEC45A2914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B5C7E11-B88C-4196-86F1-BA85C2DC41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AF836888-94F9-4412-92F6-B681E0025E0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3D1A9609-7A9C-41F5-A6FF-AA74B58FA5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D10338A5-20F6-49E2-8694-2F20269C0F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6309545-591C-4D98-834D-8660AB5F4D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247B1F6E-4077-4A6C-95E3-329B0724F6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45B4DC12-F42C-4B21-844C-7F0CC38349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E61FEA4-A8E1-4419-B04A-965674B838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82B5D543-5799-4212-B056-866C1D1520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9A58AF02-D9B2-4D8A-8331-85A9CDEE2E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9F044F42-DC75-4EFD-9FFB-4208B0FBFB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F6D03538-AA15-40D0-B5EA-F9D4BA485C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1D35622-DED2-4A7A-A007-C8BDB23FF57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B4E1547D-A9D1-412B-BA44-DCA605E9A3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14D19CFF-88D8-4614-BCD3-AE88A8CF18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1A131FE2-6667-4269-A8B7-C8A7FC6EDD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8B2A36C0-B481-49B0-89CB-E8A0D7780B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580DB7A7-7680-4C5C-91E1-E60DED2BCDA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B9A7875-8796-4001-95BF-40F049EEB4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CF21E83C-4FA1-4BBE-9874-1907BBB864C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A455FA7-A553-4A95-97DF-DDF85228FB7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ECB3D11-DB98-4761-9CC3-C1BB08CB173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2205FEED-652B-408E-8598-A662070DEFF3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124E57D-E24B-438A-8F0D-A9EB47E75A54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0AC67B6-DF03-400F-AD78-31E2642289AF}"/>
            </a:ext>
          </a:extLst>
        </xdr:cNvPr>
        <xdr:cNvSpPr txBox="1"/>
      </xdr:nvSpPr>
      <xdr:spPr>
        <a:xfrm>
          <a:off x="160115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BD500FE-C15A-482F-8622-B969997234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DA4746BC-05A6-498B-A2CE-CCA750278F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5FE476B8-AD3D-43F5-9C14-F002D6615B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BAE8B480-1EFE-4674-BF94-997297EDE54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4115E360-15F0-4BA3-8BA9-91C096762D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C18FDCA4-6F74-4D8B-B228-1BCEB8DCF5F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A66A2CAA-CDCA-4AD0-851D-987D05D673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C29F54E-B6C8-408A-9D13-FF0301C235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7D385A8D-F2A7-4FC8-9A77-C333FAC357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505A577C-7906-47F6-952B-6357AD7C60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53885FD-489F-4759-8E76-F0545231B82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61B3F9C7-BE32-4708-AC34-91CAC50223A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94FF192A-D3BB-414A-9BDD-281FFC3974F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EEB5765C-3A75-4596-822A-105B604D5A3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E390C5C-23E1-4901-BD81-2795F1F069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21FD0B7F-C096-41C1-B097-43C979E897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2FF11BF-6A67-4158-9BA4-A55004FAC0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8F391664-2198-4657-9907-DC5312CB369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92676</xdr:colOff>
      <xdr:row>0</xdr:row>
      <xdr:rowOff>0</xdr:rowOff>
    </xdr:from>
    <xdr:to>
      <xdr:col>9</xdr:col>
      <xdr:colOff>506505</xdr:colOff>
      <xdr:row>10</xdr:row>
      <xdr:rowOff>118774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ABB14DEB-BB5F-447D-804F-D28CF9876A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5859162" y="0"/>
          <a:ext cx="2184965" cy="197228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225C2C-C59E-4663-8A78-7163591657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0D0578-086C-4B6B-B074-0BA3F6E62D6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388B26-4B08-422A-BE44-53D5F33C03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ED1CBEC-7B6D-46AF-8DFA-943D377A5CE1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B6885CA-BC77-490D-BC18-5B9682914609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17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2B183A3-CE12-416E-AE30-BDE33E2AEFE6}"/>
            </a:ext>
          </a:extLst>
        </xdr:cNvPr>
        <xdr:cNvSpPr txBox="1"/>
      </xdr:nvSpPr>
      <xdr:spPr>
        <a:xfrm>
          <a:off x="2876550" y="403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736BB9-102F-427A-8086-66EC21EF5C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6F00990-0784-4250-AE2D-1E500EDEDF5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CF3658-6FE8-4079-B704-C63258DF5B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325B950-AA23-4D00-A72F-69FF91CCE2D1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ACFD55F-2DC7-4380-B5D1-A2E95DEAB09A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D8B77BE-9918-4F1B-9116-C3B633D23591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CB180B4-7E7E-4ED9-B56D-3A01B6F654D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FEEF6E3-EA2F-4827-AAC1-0A78EA42AA3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9C39856-AF44-4077-8607-995C7CBD12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7CCE1D4-BB13-4D7E-B934-0C14ECD2C13E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A6F4676-A203-48CA-BF9F-0B1B1979352C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F85B67C-C33E-40C7-A79A-4E694F6D6C1D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2CF4C1C-1F4C-4E34-9701-805F73E7DE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4A1BFA0-450C-4C04-89FF-B205291FA4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2C7872C-8453-4C55-8EC7-6F9C63B817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2518CF9-8A1C-42ED-87CE-3DF0638F47BD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6D40D08-D481-4E05-9028-17CC5E377BB7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4D2FC20-47FD-4088-AFC1-867FB1BC9E80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8923C7A-5AC2-485D-AC69-3BDBD5B94A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3028C9E-8059-4B1F-8DD9-94E95A9F11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89A0992-14FB-49C8-B4D4-53A29B16AA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21BD902-C74D-4B9B-8C51-B1157B616EDC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01F19BD-BB5F-459D-B512-E037C4162CB6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579D26A-D341-4234-B08D-D1BF08708023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EE8709A-5BF9-4B97-866C-6CEA41D8C2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93AFC98-E723-46A7-B09C-D55EB46D29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94470EF-075F-4E4E-9691-D84A9E5CE0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25B80EA-2477-434E-812C-AA21DC1C0C9D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7FAC127-D1BE-423C-A03B-8B60B3766FC4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21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BD71871-33B8-4FC7-9AE6-789CB62E938B}"/>
            </a:ext>
          </a:extLst>
        </xdr:cNvPr>
        <xdr:cNvSpPr txBox="1"/>
      </xdr:nvSpPr>
      <xdr:spPr>
        <a:xfrm>
          <a:off x="2876550" y="480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77E8BA9-1A6B-41BF-9EB3-766B2C0765F9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215D30A-3716-4D2A-AEED-29D85674701D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38FA44F-328D-400F-A088-DA5E92378857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19B7C58-5A8E-4039-A4CD-8896EFA60D01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379F261-38F4-4B55-960A-A840B115E729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2E17A46-F6B9-405D-A697-EE6FDC12C61C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1F48BBE-25E0-4D40-B4C1-7EC04277B70A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4B64746-68AF-43EF-95AA-682D1D74BD93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19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C244A0A-1799-4D46-B0FE-9AB1CB15EE94}"/>
            </a:ext>
          </a:extLst>
        </xdr:cNvPr>
        <xdr:cNvSpPr txBox="1"/>
      </xdr:nvSpPr>
      <xdr:spPr>
        <a:xfrm>
          <a:off x="287655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BF69163-EE55-4BFD-8E9A-7C8A6B5F36B7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EF96A4F-37E1-474F-9FAE-5344C3D3D99D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18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24D3AF2-E5BA-4821-8CE3-8CC395CCD4FB}"/>
            </a:ext>
          </a:extLst>
        </xdr:cNvPr>
        <xdr:cNvSpPr txBox="1"/>
      </xdr:nvSpPr>
      <xdr:spPr>
        <a:xfrm>
          <a:off x="2876550" y="422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4B095BF-D169-4563-89CE-E0E22933394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2E036FC-F3CC-415C-824C-7E488119C8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343D419-FA94-4665-8549-D927A3C1D7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E1B6386-411C-45F7-AA81-80AA4B11DD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602DBAD-6D2B-4F94-AE0F-637FEB2FA0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2472A82-D6E8-4B53-85BC-C72AC21FFF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7D129B6-A91F-4DF7-81E8-62ACB98626F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FB557AC-8C85-47CA-B1D1-5529343CB3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995BA8F-AD40-4A3B-A726-68721BDA44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3852ABB-A2FB-4ACE-8450-FA4AE0917A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1F17E20-0F02-4550-ACF5-94E3438745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D67D225-FAB0-4C32-89EC-1A6F91FA86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EF3E182-E326-45D3-9D44-360609456B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5141BD5-DE73-41F7-B13A-D63AECED0D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8902CAF-44F2-45E9-8561-9762323C77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32077FC-8E2A-41B1-882D-BA8DC2E077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86B8784-2589-48C2-89C5-437040E1EB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6AF42BD-F536-4A91-BABA-6A5555E1BA5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ACC6F13-0190-45E1-9AEC-24AD0A51881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AAADBDA-2BD3-4666-AEF9-52EAA1DBA1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38F98D84-BC79-4964-86F1-78EB4A81FC3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321E310-76F8-4BDD-8401-27514E6657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B79DD89-1C72-4374-ADC4-DC64BC5CBF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991CEAB-13C7-4380-BD8D-8C4A1FA086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F89DF0DE-627F-4CF3-91B5-37BDA7D3BE4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0D68634-EBFE-47AE-92D9-87A0335061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86C4D10-3E96-4787-B1B3-33CFEB27EF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4A71A27-23C9-472B-A60D-3C83044950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09C2B9F-EE22-4340-8715-67820CAF21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FD58ED2-D053-49A2-BC13-E0925419B3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FC546CB-4CB0-4632-886E-DDB9296248D8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B8FD54F-A504-4EB6-A077-45D6BB5C8F0B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23B898A-4A32-4F56-92FD-4B7555D824E7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401171D1-1DD5-47D2-B0EB-0F499FD1B05B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6843C1A-96E8-4540-8104-721CE9A33871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F702F5E-C5D9-497F-8DA2-DA819AD769DB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2D18F5D-D4E6-4271-803F-35B2A50F74B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D343F8AC-B932-4E99-B127-182BA907DB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C8C4CCC-313C-4015-A7D0-8B7F1D26ECF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2445DCE-2F99-4882-9C5B-AD3F7325088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E46B633-1CD3-458E-88F3-A82EF9F497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AED4CD7E-0212-4E76-89F8-470FE1195B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00E5CBF-68D8-464C-9847-773F1B7A0C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61928035-55C9-4C06-9A89-288B3F6F7C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E2A1004-7E03-4A70-BB75-3D48BE1D7C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215A504-52EE-49C3-AF9F-2C4F25E601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5EEF695-38AA-4E00-9CA4-51316D54292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AB793EB-E09B-405D-B2F3-40DD940746C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4D84EA2-F38C-42D1-8EDA-43AB53CD6C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416E72A-DF8E-4AEE-996B-2F3A55D098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313CF81-7A03-42CE-B19A-674F65324A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0E86D0F-252B-4E47-B281-A8ACA5D827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4F163351-A5C9-4E6A-907B-85CE27BB57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2EB0329-9649-4970-B1D5-648104DA61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A07B0F64-7BC6-4449-8E47-2814CA27E3B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0AC595F-9F19-467C-A8FF-DC9A3553A0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FE0CAE7-8F14-4489-BE26-D0CB6A0F0C1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321E310C-2D24-4891-BDE2-B50BB49BE8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76042F4C-1732-4B75-8B14-14013026BFB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90676CA4-6EA9-49F8-9646-34B5A203E3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03746E6-3220-45F2-8522-7472E984A9E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C7D23C0-7AFB-4EA9-A6F2-603A420B45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7E41D1F-B065-430F-9684-0072CD084F6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41332D4-7BDF-44B8-8D22-AAB62DD055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CC4E861-73A1-4AAE-8DAF-930D88B6D28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4CFC08ED-B703-45EE-91A3-BF12FD276B2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8E393FAE-0F39-4FD2-B93C-4DB3FAA75FE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6933B69-F949-47DD-9AA8-5764E29408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3408CC25-B058-4F9D-84FA-76F6AB1DC8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850B9E41-6481-4161-B5D4-119F7BB421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300D6687-C447-4B07-BB58-50DA82122E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208870A-3036-4624-878D-D0A4C73EF8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93A0C3C-FFB5-4D6E-9FA0-71C401A5FEF7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3FA8E1E3-74BB-478C-B0DD-613C75CA928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775EF81-2D97-4CAD-B6BF-A386D3731A7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4DC4E89F-CB47-4D6F-BF61-6A42AF950FF5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1C2CA891-D7C1-4335-9BFA-EBAB630AF3AA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695F8BA4-0DB7-4344-A8B4-CF854765CE32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BF5F3736-A16D-4489-8AEC-091040BAAF7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AD73531D-204C-4143-AA4C-690C62735A3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1B1DA0A-6834-4E43-86DF-8BBBD08609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1C032C9-1B5A-43C6-8626-D8A91FB54E5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B77204E-D26A-4D28-887D-EA6AAF4F79B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C0DED2E3-805F-4BEE-BC52-6015CC8B910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764ECF61-33E3-4C2F-A23D-19266E399C4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D010EFD3-2AB7-449C-9B41-E8C46B3145A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D8106740-401B-4038-AA94-46D93AEF22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8515A78B-3193-4B19-8AF8-C81AE5DA15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3CCF0F03-E8CD-4F94-B992-60DF72FECB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1922D99-B6D6-4172-B2FD-BBDC221E82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E8273A64-6248-4F6B-8A96-701D54BE32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2EF5FAA3-E7B3-4554-8462-C3D78C3EB6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2C489D78-3B34-4F31-AA09-C86668512EB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E1823B28-C7A2-4DDC-89BC-558C2DEC0A5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CAA7EEB7-54F0-4835-8A2D-935EC21616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27FB5E57-F31A-4944-9258-219D6E68E3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801585</xdr:colOff>
      <xdr:row>0</xdr:row>
      <xdr:rowOff>59377</xdr:rowOff>
    </xdr:from>
    <xdr:to>
      <xdr:col>9</xdr:col>
      <xdr:colOff>223664</xdr:colOff>
      <xdr:row>10</xdr:row>
      <xdr:rowOff>123616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CFC56FB5-4C90-43C2-B0F5-818658D7F5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739247" y="59377"/>
          <a:ext cx="2044547" cy="184553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62FA77-8F94-44C2-91D1-CEEB85B42F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1B7EE1-32CD-4F89-A372-E68D05896B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1B16251-000A-4ADE-8FE7-DDC9200B833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F4CB792-81CF-4043-841D-CC80753AE1BF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DDFF8E-A254-461C-BDD8-F3F13D0D1025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05F7547-EC0F-41D7-B5B8-D41B985DFC9C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B7C94C-190C-43A1-A6B9-2CB18EA6DAF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639269-9ADB-4264-90F2-2FA1167847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DC7B148-EF1F-4E4E-B3C1-D8348AFBA6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4159936-8649-4918-A23E-208F87482CDF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9BE267A-E26A-425B-AD04-543406014736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709F020-5924-413D-8CDF-E6E63056D79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029C70D-5312-44B1-A55B-1D817D92E83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A8F7AB8-CE31-4567-8777-05A1B5C0C9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FF74472-ED2E-4D69-AF9F-CD1AB61B2D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63200DE-F8DA-4E30-9D88-A284B937FED9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79EA82D-E8FD-4514-9D23-D2D54212B70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4364BB2-5F25-4908-8607-A0F4AFE6B37C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3B61687-E09D-496A-9E72-C8B4A0EF49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961BE5C-C31F-4C26-A878-A608880825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53B602A-1DF5-4872-BE11-EE5A0E884E0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751656A-550E-4B4E-9287-00A49DFD3F3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C50F7C4-1B29-44ED-813D-9A363C0D4C3B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682E2AB-6971-4849-A2A2-76EF9587FA26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F4E2D5A-5E40-4496-8A0E-CF5728BC8A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9A10CCE-AD13-48C4-814F-AD4E190F41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4D1D93F-4E3D-4F7C-AC50-2A586355B9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EDBD67E-C396-4998-897B-DB2FEF76E2D7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A06BC37-C9BD-44B7-B725-B2914A133E8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AEC25BE-9C43-4AF8-B91A-25AAD4C9CA7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1CD00C8-8870-4E06-B40F-D19052D8A68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09524EC-C6BF-4BD6-9837-9091210C86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FD345C2-127D-4209-AC8A-55C6EC46EF7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924739B-E355-49F0-B88E-5D74F889B23E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3A478F8-0B9D-4DB6-90D7-46FA392ECB44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A0D1396-07AD-45BC-A0DC-F16CD7B653E6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C664BA4-EFC8-40ED-B2B3-113D93B79D86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4F36D02-F242-40DB-AA68-A15E99E5DCDF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E15204B-C189-4E23-A5DB-A989642BF4BA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220715D-0E6D-415C-B45D-54F3772306F3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9FFF27C-2F4A-452A-8F57-8C7ED75948ED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E28A8A5-5E68-45A0-92C1-D2E4C566B2F6}"/>
            </a:ext>
          </a:extLst>
        </xdr:cNvPr>
        <xdr:cNvSpPr txBox="1"/>
      </xdr:nvSpPr>
      <xdr:spPr>
        <a:xfrm>
          <a:off x="12849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58F6864-F84F-4305-A6DA-1F76ACFF1048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B497658-6EA1-4E03-A030-3A39E18443A3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C550AA9-9394-4A6D-9649-F2E416BA5D4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18DC76E-36EC-4623-AEE0-70329DD29EB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F1B9E67-4023-44DB-95E1-12FEB095A053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5550584-769B-4377-B124-3B02B7ABAFB7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5D0C21C-E349-4381-BD39-8F1E3CF407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B85B9F4-AA4F-49E6-8906-3971C10A3D0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9E27A61-ECC8-4884-89FE-5833BA103C0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641A781-DE76-4DDA-BBEC-8EA7340FF11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C7695B6-D7A8-471B-9C22-5DEB6E4B13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DE8D25A-EE4F-489A-A282-B0C0036EA0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7563CEB-AA35-48CD-A1C0-C3D207CF51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86CD44F-B771-4A07-A6C0-842F4EDB78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B0D6EC1-3642-4F35-A63B-8590B185B2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F601805-7A4D-4368-B637-E161D1DD33F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E223079-58AB-4989-9181-5A7B1D1D1C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78A133E-7152-469B-8735-A51F99C773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2A5D892-3359-4EC7-BB8B-2CDD82F6CA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7E14D64-6648-4C1F-8657-F0FE612929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2FEB0FD-35AC-48CC-92EE-B94AD3B6195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8C79181-862F-48B1-90E9-3D4AD278BBE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983F262-F160-447E-A4CD-81B61439A8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3FECAF9-61ED-4138-805E-E5A14A8B026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F4EFCFA-3915-466C-91CF-5BBDFB614C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3281683-0B2B-48B3-895F-DE1024A4A57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61DF2656-82CB-42C6-A631-4AA0EF6BD5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ABFD8DB-D1A5-437C-8323-9F38305D038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DE41551A-57ED-4EC9-B822-E6B545987B3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BAE3BE1-F8DE-478E-8981-72F7D69DE0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CE2E0B63-DD7F-4FAE-A430-2C7888B9910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6054147-02A6-404C-B366-E743E98CC2B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5164FAC6-B1CA-47FB-B7CB-EA466665D09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22A972D-C645-4E74-889D-9DC3C3E74D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7185078-4565-468C-8463-2B59D246F56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018853D-9CEA-4D17-AAE3-DE51FC7BAC7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22DC7BC-967E-4963-BB36-3BDF7919E0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F69BEDE-372E-46A2-B18B-A49DF16EEA0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3D6E2D24-94EF-4B14-8E0D-F36FC29172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3828E778-47CE-4557-BB6A-8E63309E7C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FEFB0B67-D49B-4379-B3F3-24AFD606E9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7CB7FFA-7A6B-4813-A2AB-1AA5EDC292E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ECB8C00-607B-4F86-87DF-3C3D1E5DB6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C9F9AEC-3DA0-4442-B444-1C4A48D91D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F626475-BBC9-4CC3-BB5A-62BEB7B4F7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D07337E-3241-4301-8F9A-3B06A374A8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FD2F29A4-20FB-41C2-97D6-E1C77FCFE2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5F7E1D0-5813-4D23-83F0-44A61C80F0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A608603-4165-4143-A2ED-29412D6F8EE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4DFCF73-94E6-4418-A284-23B2923960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C5D5DD-B9E1-4D15-82A0-B2ECC64617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F908F33-B766-4C4C-9FF4-0E47E69080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3360917-764A-4B2A-BB9B-45B42B38BC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2B9BA632-8D4D-4B28-8FC7-6B0972FEC5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A565B11-7F23-49ED-9C81-F0E7CB8E6D4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0E7AF37-8E07-4BE6-9416-C21456CD0E5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A23E0C5-59BC-4206-A589-8FDBEF854D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9A239E5-6DF2-4F83-B2AD-DC55C73554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790FFAD-4480-421E-ACDA-7065485687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E5E99A06-BBAE-4B24-A1F8-2F3E5E2336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EABC765-417B-4610-B4AA-1347DCFABB8A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FCEE54D7-C0EF-4E3A-8415-CCCC4CB77134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0A6E1E5-37BD-42A8-AF46-1B1EA4FAA3FD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C54A511-3851-49AA-A2C9-E842141E4816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B58A723-F6F0-4500-82E6-2639BBA4A01B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71492402-8806-41F1-A236-46C5C792224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E79C30FF-2735-476B-9AD3-2EA9FC8545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2552EDB-36B2-452F-9F3B-406A0600E27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2E86A6B0-BC7C-4E4C-A1CC-9CBFB792A3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38CDA3EE-3F95-4072-A9DC-A03330A29B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BD9BDCD-38B5-4A8A-BFA4-3E46E4F669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20BD0CEE-FC22-49F1-9045-35BCB308CC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AF7C6702-B9C9-44B2-8E99-AF551DCD13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39D4B0CF-189F-4707-BA1D-7565CF6F07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3F317C5-3B7F-40F6-B9B3-9F508BA46D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E1CB5BD-C9B8-4AF2-A42A-CF349130C5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E279920-6D85-429F-8B69-FB62CB80E0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495E306-2DDA-4EDB-A283-7AF0DA063E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F4987FF-5865-4FD6-85FE-BA6CB415D2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93CC2F-95FE-489C-B9AC-D721E02004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F4277C0-8ABC-4D8A-869B-77EC089E85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51989D8C-642A-4906-B922-F27C108718B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C3178682-B44C-4208-AB36-1C9D80ADAA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710829D2-5ACD-4DA8-9E5F-7D644609431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ECABB1D9-8B49-4A79-A27A-658726B652C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11C1450D-F307-4A04-B261-95F8D3106BA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5586957-5E6D-4B6D-B237-413752C092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138334BC-CB51-456D-BE43-AFA0FD7CC8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170D1EB3-0ADE-4655-8E33-34A5734A73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EA0DA4B-5DA4-45F0-9876-F18D0F441CC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81DAF567-10E6-44CE-863A-84005B55D2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E59810BC-7683-4990-AAA8-9F20CF40F6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BD2ADA68-E110-4D9E-BD7C-287A5FA7A4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17714F0C-694E-4158-9778-2EDDBB49DB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E3FD3FA-B0D0-4096-8205-9B26C20F62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A0C94A85-4828-4F3D-B13D-63BEDF01448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4B64044-BA6E-49C7-9175-935569FA93A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EABDCD1B-AEA2-41A5-B293-F5B13C6018B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376D857-F368-4F4D-A30D-8298AEC883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ED0F8DD-9092-4C63-A6F1-2C133784B2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778539B2-D324-4922-B0AA-FE54FA842B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9F0DBED6-9CD8-4333-8F62-DF6BB8E523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B6BB33B7-5E29-48DF-8649-8F7BFE8828DB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5534C5E1-3A1E-4C01-A903-661236C672A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5879C71D-8CE2-44E5-A9CE-2FF8D3FD78FA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3BB8C304-3D2D-4F28-A312-12453B819ABA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E6190F5-1D4F-4B32-A015-045DE69FFC8D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8E8F3393-8495-4672-AA1E-E91F1E535A88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C0A1BACA-BD06-4C62-8E70-DBBCC2FB39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BE50349A-DDF3-4611-BDAA-3481076F9D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B435E542-3A99-4B8E-88B8-07D4EF2EAC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1D170BD-6FCB-4179-AEBE-2F8BBF6B63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FC04AAD1-3363-42F0-AC40-F776E1D9BD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44035946-6D72-4644-8C38-BC5823F6D71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FE36A26B-70F3-4A88-96DA-3CA12C88C1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46D91780-A35A-414C-BFEA-E573A65650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21E772C-D5A9-4531-974D-3C8EF21967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93D1757A-FCA2-46A1-8A76-99E799495E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54541A1A-D104-4B46-812C-A236090E96F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73BE20E-64F2-4F94-BCC2-EFBF57663C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B8D75FE0-DE47-4A75-A562-2FB73443E2D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8E613690-0983-4F83-AEB3-4241979830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28EB4F9F-335C-4FD3-8EF8-A1B9BCC25D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D0523B3F-1743-4122-93F8-C3BE1C28F7B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E3FE85EB-12D0-4498-BFC8-B4DB1FC1EBB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7E3EBEE7-FC51-4F50-B68E-10C1D677ED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361462</xdr:colOff>
      <xdr:row>0</xdr:row>
      <xdr:rowOff>97693</xdr:rowOff>
    </xdr:from>
    <xdr:to>
      <xdr:col>9</xdr:col>
      <xdr:colOff>449385</xdr:colOff>
      <xdr:row>10</xdr:row>
      <xdr:rowOff>93387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E2FF68A4-F0A5-40CA-AA6B-01874BA651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418385" y="97693"/>
          <a:ext cx="2051538" cy="185184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33D172-D376-44FD-98D8-DEB73B65F9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F78F33-7000-45CB-B355-D42E033749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19C2DE-11E4-4751-A508-49E18CC1E0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08EC1C6-DDF2-4C79-A8AA-5054B925AB48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CF7E9E-928B-4F49-BF99-458C5F562F3E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7345BF-8147-4C29-8955-0A445A8667E4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22C314-113B-4536-9A06-C534DD1652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94CB3B9-8604-4A0A-A17E-3588588097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0A831E9-7892-4CA6-802F-08DDD08335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1D71203-1717-45C5-9BB1-76A2E97D1C1A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1DC3ECA-B893-4C25-AE6E-FF7FCE2A3A10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6C71275-C560-4A34-84F4-A59BF9EBDC63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C51A9BA-C2A1-46ED-B4DC-1F04F5F052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4C4F7FC-1389-4EFC-B0EF-9E9A28573C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2DE658A-50EF-44CB-AE33-C33706CC3F1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179C95E-E98B-4897-8D71-48B1E8AC72D8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3DB1EB6-3B46-460B-BCEC-60D9091D03A2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6751F5B-35F1-438D-BD08-5E5F597ACC8F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15A81BF-988C-4F80-A4A1-86140E7884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EAB9C7E-95C7-4ED9-AEEC-56F39C9D25E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162ED83-7377-4BAE-96BF-84E30E4A1C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35C86FC-85B0-4177-8993-0BCB98E0CAD9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082D0E0-5A9D-4DF0-BB01-6904406B08CF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0B168B5-AA21-417A-87D6-D5A5576169D8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D00A05E-694F-495E-AF16-7F5E8BD035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3677772-0A2F-4527-BC80-527E18296C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EC72431-2BD2-49AC-830A-63A9ADDE5F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AEAA220-292C-4B70-AE88-DE3565CBBA7F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4A0658F-4A97-4B66-94B0-4C010A97A642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BF9DADB-E17C-42D2-831C-060D5BA76033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01816A2-2309-48AF-811B-253C76D32C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308C345-F8DE-4721-96B6-6694CE6FA9F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49DD04F-E05D-4AF9-82AD-C5FFF1C137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A811489-666C-4063-A432-2A74FE6E2936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E3D6824-3143-44B9-BF63-A145B979C81A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07B0990-4C42-4E89-8934-4B0F44FF0C89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D010E7E-72E7-4020-9903-2D76FAAC4C9D}"/>
            </a:ext>
          </a:extLst>
        </xdr:cNvPr>
        <xdr:cNvSpPr txBox="1"/>
      </xdr:nvSpPr>
      <xdr:spPr>
        <a:xfrm>
          <a:off x="12468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87C82CF-D5F2-4537-9EE5-EB25A95DF329}"/>
            </a:ext>
          </a:extLst>
        </xdr:cNvPr>
        <xdr:cNvSpPr txBox="1"/>
      </xdr:nvSpPr>
      <xdr:spPr>
        <a:xfrm>
          <a:off x="12468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B0E22C0-4C3C-4B1A-AAAA-AE82DC058E5D}"/>
            </a:ext>
          </a:extLst>
        </xdr:cNvPr>
        <xdr:cNvSpPr txBox="1"/>
      </xdr:nvSpPr>
      <xdr:spPr>
        <a:xfrm>
          <a:off x="12468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51D482A-69CE-4D9B-8D51-05E8CE29C8BF}"/>
            </a:ext>
          </a:extLst>
        </xdr:cNvPr>
        <xdr:cNvSpPr txBox="1"/>
      </xdr:nvSpPr>
      <xdr:spPr>
        <a:xfrm>
          <a:off x="12468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A271F6E-CEF0-4466-B8AB-8BC5626CFD1D}"/>
            </a:ext>
          </a:extLst>
        </xdr:cNvPr>
        <xdr:cNvSpPr txBox="1"/>
      </xdr:nvSpPr>
      <xdr:spPr>
        <a:xfrm>
          <a:off x="12468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D4A5F20-119C-491D-9564-4A93321D46C9}"/>
            </a:ext>
          </a:extLst>
        </xdr:cNvPr>
        <xdr:cNvSpPr txBox="1"/>
      </xdr:nvSpPr>
      <xdr:spPr>
        <a:xfrm>
          <a:off x="124682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E903F51-1314-41D4-B096-9734E841937E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A3446A8-3E43-4251-8438-03528C2674E0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16DC804-B7F4-4EE1-B7C8-AC57E3B0888D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C2C1DCE-74F4-439E-B11E-5E9723E7738E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A5B8F1-0218-40F1-9AD0-FC0D5DE160AD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B98187D-4E0E-4E4E-BE0F-D271E61C5FF9}"/>
            </a:ext>
          </a:extLst>
        </xdr:cNvPr>
        <xdr:cNvSpPr txBox="1"/>
      </xdr:nvSpPr>
      <xdr:spPr>
        <a:xfrm>
          <a:off x="2876550" y="3857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814DB45-B606-4C70-A92C-C1FE78562E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4F80ADA-8BAD-49CC-93D4-8605F60E67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6A1218E-39C3-4FAD-B96E-9E185FB4FA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67A3FD1-5D9F-40DA-A137-DAD002924F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CFCF2E8-D81A-4173-B34A-FC7CEE7380E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BF392A7-4A8D-4346-BA70-F251C1DC1C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D420A120-295A-4B16-BB55-22A9E5559EF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FDCCB93-0DF2-451E-909C-826B7A12DF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B33FA7B-12FA-4F24-A6C0-E353680782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7F24A59-7641-4997-A7E8-121D7B053F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A5F52BE-7652-44F0-9A17-7001D5EB52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2ABDCCD-042E-4C5C-A42C-B88C9A6FD6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11D24EA-D7ED-43D0-8B22-90AE714D32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BD922C5-7ED0-4213-A9BF-C3D02D3425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8AFDEE0-DCC9-4D0D-9005-F50E376F34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F1849FC-D38C-4971-86F8-4C3A2AE5A5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FA5B5E3-262B-4B46-A3B4-932313DC43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996AC87-3494-48A3-A187-56EBD2CBC3D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F798432-8AB3-4C6F-A5D6-067954C2D9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B8FC7AD-1365-49EB-950C-1FC541B8AA6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F5256FC-F1E1-4D52-8AAC-E3B9205F66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A2B92BD-5C9B-46E8-B681-7599DA1F1C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7524C42-4023-46EB-BEA8-F39024E0FE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3BEEF1A2-D0B6-4E7D-9A74-DA0356266AC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74CCFAC-4317-4020-A87F-2F6DE171D9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6229609-B54D-459D-A175-8360DDAB42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47EC0FE-700B-44D4-928F-67B32EB3734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7C0CDBC-1F98-4F1A-BA4C-3C7C96740B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020715E-E2CE-48AB-AAAB-CEF4683356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3DD9819-3DFF-43E5-9B24-F84A056B0B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A2239FA9-841F-4D66-B157-F99654C80DC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1D41A86-33DA-4659-8985-769248005173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283B861-7D5D-43CC-AA37-D1A9625609E3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67707246-8F8A-4C3F-87E8-AD9E904D0511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C3E45DF-EACA-40E0-AF4B-E8C75D3E0166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D41FAE3-E86D-4EE6-89FA-73CF0BAFD057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AD0E3806-67F5-4A94-9448-BD905590E8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0F2FC9A-28D9-41E3-8B9B-0B4A6FB49B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80C5F55-E6DF-4243-BFEB-813EC15E0F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A00972D-868E-442F-B254-A72A5B52A8A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FE73449-AB80-44C4-93C6-FAB8EE953F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E6E6E7C-0654-4850-980F-6F664995A8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25F1FEF-DD48-4BDC-8F70-5A83DD0A72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F1BBB20-9EFC-4F3F-9203-7B4D409CD91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BAA3EBB-2CCC-4C36-8BE2-EAD7AF42A53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7E191F7-C7FD-4959-8D7F-974419F47D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D422E1B-7FD0-46D6-8D3D-1ABF95AEF70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588DC251-C694-4E3F-AA66-6CA5DD1B8B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4E254AF-A345-4BC7-A7E5-4CFB96A381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E1730D2-625F-4F18-BACE-954E952ED3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A6ABB30-C61C-4619-996B-45C8FCC158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ED3249FA-96B1-4DAF-B4B3-D5917B1113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95BEC435-33CE-459B-99B7-C9C2F6D319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2FFDFBF7-82AE-4538-A49A-B9C05CF49D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56A86164-BFB8-4F4A-8DC7-96A1801E0C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4E451C7D-9B28-4A9A-BAB2-2F7CD3DF97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A0A1D57-487A-48C3-ACF5-436E354D9E8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7988DC3-7CC3-4263-A297-8B844628F07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F7FAF625-7184-4716-B420-738D9E1AC8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1E6A123-3D17-441D-B0D9-CF6BD326DB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D15216E7-0F54-469E-93FD-042E1FE060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3930282-1353-433C-8DDD-CE6C39B86BF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92C12046-3761-45D9-B6E1-1231D28DE6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8E009F29-DDC7-4597-A4FC-E858CF9571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F28D6B05-20BF-45C4-89B0-C68101880DC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B6C27DE-2AFA-454F-8CED-42DFE8B7DE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790DA14-25A4-4B6A-B32F-8487215DEA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5680E2C-5681-41AF-9FEA-B5E3A53A2E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94C84EE7-936A-46ED-AF92-42DFB29FE5C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DAD0C10D-89C8-4E6E-B701-0CCF0D0D61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34D9536-69AE-410E-9E5A-9596A527AE0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6584F02-ED72-42C6-85E3-4F959E6E71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78DC485-1703-4961-988E-E380BDB1B4E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2CEEDB27-FDCE-40CE-89C2-00ABD56EC52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C40C26EF-8EBE-4F2B-9DD6-D95505076622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D2A3DA0F-40E7-4490-B68F-C6F7A243B647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54130E08-476D-4C11-859B-1665B439CBC7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C957BED-C13C-4ED2-A01D-EDDDA125665E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458443E9-DB2F-4143-AADF-6D2BBE02B85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34AD1AD9-B266-4004-976C-890F268514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E4ECA8A-7E01-482D-84EF-03D0020F30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FDFFC59-11B1-47D7-A27F-5963694722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ABAB1CC0-72DC-4B0E-8D7C-7421AA76B21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B4AD7558-E706-4C77-B5CA-CA31B856F1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385EA38-7098-4737-81A2-FDB95549D3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9F814223-EF8D-410B-B213-069B17B7FC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7AEF0C3-0948-4BC5-8215-5E89F94D97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4425615C-1A10-431B-9B8D-0CBF146506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CAB1C82-5870-4FC3-B624-A5E9A9C118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C659438-BEF9-48DD-97B0-DF99452402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E7CF2BBC-CA38-47E0-97AD-62FFEB28C2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5CFD92C8-21D7-444A-8C41-CA8C552364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C2870264-EE5B-4DE5-B0E7-F08DE751D01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3C26ADA-A065-4172-8D2A-DCEB7958BF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88A8515E-8702-49D1-B221-EE71CC2959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1A53F9F-C9A6-4297-B5F2-2F5E1D22C56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736038</xdr:colOff>
      <xdr:row>0</xdr:row>
      <xdr:rowOff>1</xdr:rowOff>
    </xdr:from>
    <xdr:to>
      <xdr:col>8</xdr:col>
      <xdr:colOff>834714</xdr:colOff>
      <xdr:row>10</xdr:row>
      <xdr:rowOff>85860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7C4DD0BA-4D2E-434D-9D2C-DBA4FB608F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359813" y="1"/>
          <a:ext cx="2116366" cy="191036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B6953B-E21D-4422-A247-504CDC4E90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CA63E1-2BA6-4DC3-8FCA-2109AE130C1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AB33AE-595E-4ABD-923C-D918448C72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9F4468E-6160-43C4-91F9-68805B14E8F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56C47-1152-41D8-8277-F1B1E0002FB5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B93450-D9E6-4383-9861-D1C418738F33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12244C0-AD92-469E-BEBA-5909D111D3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B5A9014-285C-473D-9362-EA910C6E43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021BAA1-AEC0-40F5-83B0-3A59BA121B1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F48E072-70EF-423E-8E6C-232CBE12360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2B03C35-1B47-45A9-A52B-6957F5D4446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11084A2-6DF0-46D0-86C9-CAFCB86B7ED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0B3971F-FA88-4E78-BF15-95B7A3C644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C01BC29-7988-4FEC-BC65-93F3CDC1E69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6D50AFA-8A62-42B3-B0F6-63B11E24482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809E582-AF57-4059-9B5C-E099ED14C187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CE11DE-6E07-430C-9FEA-DE4F175E2B3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ABFC084-079A-4801-8D4B-23E93BF8074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EA66969-0D41-4690-99D2-5EA5708159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717496F-84D9-4CAF-B3ED-641851C12FB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D1B5B31-498B-4206-9B93-8305FFD558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B05CFAB-65F0-4F19-A4D9-E7CEC1075D9B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4FC59F3-49D8-4E4D-8FEF-9E032E8BDFAF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2D306BD-A813-4031-8B60-4B139DFA231C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078D8E0-401F-4C62-A280-CDD699B8D3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4DAAEE4-9F1B-4C63-AD53-0C0F5995772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3D29083-9B65-40E9-8196-AC1B00BF68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EEE0094-D190-4F64-9AC2-D85619F6574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2F41A85-C4E3-40B7-9243-8B12F4A9869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E2C5BA3-3DA1-4790-B7EA-82E08C971907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C05FE38-C6E4-4F25-B76B-18207E2785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0AF8F04-8ED4-441E-A8F3-3FEFEA1594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84A45EE-4ACC-4696-8BC4-DBF5815FCE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D37BA09-5E53-4100-A829-E074C226BC1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E0596E1-11A3-445D-ADEE-81F7CF7852A5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32899F1-2EE9-4C98-BF25-91239FB28564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4660AFF-D78A-4C8F-A501-4DF1A2AD24B6}"/>
            </a:ext>
          </a:extLst>
        </xdr:cNvPr>
        <xdr:cNvSpPr txBox="1"/>
      </xdr:nvSpPr>
      <xdr:spPr>
        <a:xfrm>
          <a:off x="122110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E47D715-EAA8-489E-A0D6-CA25613C3833}"/>
            </a:ext>
          </a:extLst>
        </xdr:cNvPr>
        <xdr:cNvSpPr txBox="1"/>
      </xdr:nvSpPr>
      <xdr:spPr>
        <a:xfrm>
          <a:off x="122110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42969E5-EE3A-497C-93E6-795A8B818929}"/>
            </a:ext>
          </a:extLst>
        </xdr:cNvPr>
        <xdr:cNvSpPr txBox="1"/>
      </xdr:nvSpPr>
      <xdr:spPr>
        <a:xfrm>
          <a:off x="122110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18BADEB-22C0-4DC6-9188-6EB6D6F265F1}"/>
            </a:ext>
          </a:extLst>
        </xdr:cNvPr>
        <xdr:cNvSpPr txBox="1"/>
      </xdr:nvSpPr>
      <xdr:spPr>
        <a:xfrm>
          <a:off x="122110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BD9BAFC-2286-4E5E-9F45-8A82B7113B03}"/>
            </a:ext>
          </a:extLst>
        </xdr:cNvPr>
        <xdr:cNvSpPr txBox="1"/>
      </xdr:nvSpPr>
      <xdr:spPr>
        <a:xfrm>
          <a:off x="122110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F6F51A7-1937-4EFE-85DF-A2530BB2FAFE}"/>
            </a:ext>
          </a:extLst>
        </xdr:cNvPr>
        <xdr:cNvSpPr txBox="1"/>
      </xdr:nvSpPr>
      <xdr:spPr>
        <a:xfrm>
          <a:off x="122110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15CA8BD-4F71-4167-9DE8-793F77209247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657C83D-AB00-4416-94C5-B8A7C710A5C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2686DF8-4F56-45B6-BD63-3F36B73C8494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3A4F0C8-7317-42C1-B1A2-39D51098A0D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2D15CFE-330A-4A79-AF48-06E31F6452D8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75F50EF-AA1B-4ED4-811E-2DDBC25FB7A8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685E2FF-12CE-4A63-B273-DA1D22F7DC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E7B3D81-8C60-4B2D-AA75-70CBC9FB61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20626B8-74B2-40A1-9975-842F2313E85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0E5D7AF-0309-48F7-866B-7A1ACC6917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7ACC43E-B520-4529-B1C0-6D04152C22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68116BC-56B2-493B-A6AF-7B536CAC147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3F77340-455B-4589-9C70-2E3D7AAF995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B9DA90E-1597-466D-A704-E88612718CA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9A3861A-B911-4AAA-BEF8-2937AE4096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39B9166-DF1E-495F-B2A0-DCD25E33FC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0DB486C-F1AD-4FB3-8DA8-B39B9E47585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6C9B052-D7A0-4AF3-A47C-FD7B58183E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4A59D2B-D772-4FA2-BA8C-F3EDD58E42D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F87493B-CC40-45EA-AA01-69C221FB84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936AECBB-1E53-4FD5-AA7C-E70BDFEAE5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09B9635-3BD7-4721-A241-E63EE23ABD9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C5A7F2D-DB24-4575-99C0-9386016E21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F3550FE-A734-4F5C-AF33-C38C2945E4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CB69A5C-ECF9-465F-A554-4A7E625FA57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14566A7-C57A-472B-81E1-3F465C24088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099D3F5-F418-485E-BB9E-D5DFE25D86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3CA4CFB-8151-4BBB-B99E-95204E5C38C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9A45CB4-F104-4614-8A85-4CF532DD3C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EE0DD719-0A2A-4063-8446-02D4B720C5E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4013BF2-20D3-451E-BE57-10C7C564FE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BB797D4-9CB3-44DF-8842-2E423A21F1D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48DF9EF-42F8-4B07-A63C-43536613A2E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CB8DF44B-6FC7-4835-AD45-E8E5EF1CA2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0E52618-3495-4463-AFDD-7553B641E8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29FB3BF-8D6B-4164-9D4C-6E527D950D0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8916855-CF9B-4DAD-8334-A305955D857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91F2070-3616-431E-BB94-2633F829FA70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47333F2-F8FA-4F80-B8D1-057C38756BE1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135C1D6C-91A4-406E-8A8F-59D9DA1906E2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E81FFDA-0234-47EE-B1CE-EC58E98A13A4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FCD18D6-B94C-4A53-8F10-6CE72775CBE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D02E674-BC82-4B90-9C82-0DCC95782A0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CCF39164-31A0-4D8D-A959-326049002C6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9F4B3A5-5E4F-4FA0-827E-6043B5A1C7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F448B2C-D9B6-4052-8E3F-E7C734B9C4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630CFAB-13B4-454A-B717-8FA0CEBD8D3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862AC3E-4A57-4E0F-90DE-AF1AE31F6D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62B89C0-363A-4D03-AAE5-23DA2F5556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4478507-F5D7-4A68-94DD-2D6E7EE4BA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70134F12-5590-48F9-81B6-AFA91669D7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2B241ED-BA00-429F-B8E4-753A2FAEF32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93457D8-AFEB-447C-B6E8-EB8332F2A4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DF54F010-E1F5-4BB6-A984-D5A548EDF2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8F9CB49-5F81-4CB1-A8D7-977ABF38D2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C507939-AE5B-4E11-9A54-8E352D4951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D236822-66A0-4F54-87D0-9A077D3369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A6BD892-DD73-4FF6-9624-36785C38BC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9989486-C6FB-4155-9165-67F8CC1EF9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749BE625-5368-4C92-90BD-A1C2EDA8C2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4BEF52D-57EB-4044-87ED-28D01B762E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294361D-6D19-437F-9A69-11391B118D0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1F9C6E9-B7DA-478E-8CB3-5B69A58C54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73718FC8-D216-419A-918D-5D4B0B2E37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A4BF61A-20F6-4FAC-AFF2-B94AD71B197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DA1B31E-4FB8-49D9-9785-EB34B83CBB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9F55030D-64CE-47D8-85A4-963E056A6E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2749402-892B-48F4-A70C-B992798195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1A17326-040C-438C-978C-592162DA51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CA23C318-8BF7-450F-A102-A7ACCE7E4C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FEA9962-ADF4-4BF3-8C4B-CC805BC30BF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9A27032-964B-482C-B4FA-3A92A17B00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F49E23C-8882-40FF-A60E-CF5D5CBBF5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6FD99463-C990-4105-9201-BD567D9B1F2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6C7680A6-A02F-4C8A-AAA2-F9D68B9F03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A7559F79-C55A-468E-A597-3A068AED7FD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D2EBCAA-B1BA-459F-8C1B-EEA2496D02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1D2EC71-2C72-490B-850E-8BB40FE04D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4A85FD5-3B1D-4BD7-AFF9-6C268502C246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3873EA6E-F179-44FC-9069-E287ABD8DB71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3061510A-1E1E-471D-915C-4DC3B5362442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1E6697F8-0DFF-478B-BC19-2C09FFDCF1B5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F27F9E4B-1F08-462F-B50F-FAFC2EC9FC55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224F8CEF-DDDA-4047-B3B5-6FC1B9CCA992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99D20EF-1531-47B4-848A-7E536922D4F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BF0D53D3-992A-45CA-85A3-9C9AE23F21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D5EAF607-A5EC-46AE-9027-428108CA55E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3153FCE-DF08-44B6-B92A-5C5510ACAA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F71548F8-B57D-4F1B-B085-A4AA909AC94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B67C43CE-F330-4C29-A1A1-90ED8FF586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BCD264CB-E43D-4C8B-881A-341E6451D9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3B71FA18-D996-495C-8EE6-69E63D1406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A522ABE-7991-4199-BE39-E0408955EE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75900B3-E76E-48DF-BEDD-F065F19E903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FDC86358-2AB0-4031-B011-F46959DF1EE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4E6D6679-128B-4992-B19B-06EC52ADB4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AF5754F-325B-4F05-8C4F-3016590ACA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661E1C0E-1C27-4C5D-9890-1577DC5208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648545EC-49E5-4E4B-929B-96ADDE8FDC0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55CAFD16-D652-41B5-887D-FC1B2BCA1C8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2A832B83-90DC-4648-986D-69232D03EB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2D3F043A-6AEA-48F8-8466-70956FD29D1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853440</xdr:colOff>
      <xdr:row>0</xdr:row>
      <xdr:rowOff>0</xdr:rowOff>
    </xdr:from>
    <xdr:to>
      <xdr:col>9</xdr:col>
      <xdr:colOff>196351</xdr:colOff>
      <xdr:row>10</xdr:row>
      <xdr:rowOff>164309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ED5C4F53-E438-4DE7-9562-92C832EB02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248400" y="0"/>
          <a:ext cx="2208031" cy="19931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372C7B-CBC4-496D-9B05-EA75C1E4B87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40AC7B-012B-4B2A-BB5A-A320BD3773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47A254-A690-4F2E-B5EE-076CA18616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115FB6-43B0-4F85-8FFD-1E79FEB00CE3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9988581-B44A-40B4-852C-0E2085415C84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C903BB8-797C-49E5-8A4C-782C0A2969B5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917531-D079-4E31-9275-2F1B9EA63A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46EFDE1-FF52-4065-93E4-EE266FE01DC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151F9FE-1C9D-452C-B83B-D3743CE638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A2DFC8D-E0B6-4F73-A3D9-82C4C15A103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490692B-C93B-43B4-8015-1A470B09762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0B6E17D-E167-4CED-A418-650043967B8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E21F4A2-0162-4729-9194-F5C45770F6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DC17115-70E1-4D10-8130-1715F9645E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90B452A-715F-4061-85D0-4CAC4E1D03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02F11B4-1957-4883-82F9-489A57C0A00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8CF1B0-F01D-4B40-A0CD-DB4F4DC7E73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110582C-A9F7-4CF5-B421-BB22DC2C028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CDDCAD1-D924-40AC-A715-CE21FF746C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D3AAE85-1B00-4EA4-AA04-6E290B58508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0984228-9EC1-422E-95D0-23FF6EC3A6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04AB749-7183-4787-9688-212582B38C44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40B159F-19BB-4B56-B403-86E7ED5880AE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98AFC17-95D9-4B01-8350-7893A3DC7676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C9BE52C-708F-4047-835E-3E4186BD392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A1FBF73-808C-4F5A-A2D2-E28E0B58F15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56BC312-7070-47B6-8517-9558B3E010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AF267A4-01DB-49DA-BF2B-CB138625F43E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5C2953E-FE04-4966-8F65-9F19F7CAA1F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A58FD50-7607-4DB9-BB7D-38006B54B36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D8BC116-C77A-431A-BC3A-D62691D37C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C527FA3-5901-4103-85D5-C0BB79DAEF7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D6E30BD-4DF0-4FA1-8FC2-D9A1B42DA9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CD2BD71-8A9D-464F-87F4-AA46EF2CC86F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E8FBD32-88CA-4B4D-9C23-7361BB6AA5CE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C52F10E-BEEE-4563-B03E-46C852934205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99CBE5E-53DD-4E2D-A4EC-A536E259919C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6E8252E-6164-4361-B3CD-5F93247DE3AF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171D3E4-5CCB-47BA-8297-393588A25206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0DC6313-8FDA-41B0-8F80-878AAA5CFB4C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2B5F014-5DE8-421C-9662-9AB707B8139C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06C71BE-525C-41D4-BCB8-B67A09DD6E49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5EC4A0A-633E-427C-A733-A717B81C8774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A7DEE34-610E-4DF5-9291-11DCBA78D03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D190FE1-EC87-44E6-BEE4-EDF835E2DAC0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412E9ED-39BE-4C8A-AB84-37FFD6F310FE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954DC1C-98BD-4111-9993-D65711BD8065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1DC8716-E834-4608-97ED-F14EFF65B76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29008E1-B1D4-42B4-8C61-DC894B370C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A83EC83-2107-416D-A5FA-867AB2577CE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107BD8C-607B-4369-8B30-2C38B6F71C0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A0EA772-1D9C-432B-8359-7F6FF17448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FFC0D57-B808-464F-9CA3-448DDE7521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7E188CD-7111-4BA6-9DF7-286B4C9969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EBC798B-4486-42C4-BA8F-E63ED75B84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5E61621-A130-4ECE-A88F-FC0F7D6B2DF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5D0CF82-44CD-46D0-B07F-7A8B58B368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250A9F3-6704-4301-9EBF-F62599AE2A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DAA9A6D-5741-4A8F-825D-B346F4D0FB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BF8FD6A-2BB1-42B7-8BCD-5499B21A748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2FF4ED0-C895-4AB6-852B-19933D3D3F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0E1E09E-7A0D-4E9A-9950-7437A9702B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A65E509-02D2-42B4-BB72-68238363F01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6B0C6B0-82B0-4045-AC52-967E02C07E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BAEE997-0CAA-4FF8-B925-4B95E6EABC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4F6B4E8-A3FF-4671-AB99-04C18EB2FF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B635958-C388-4260-92AC-6821BF31D5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CF39C53-11D0-412F-BD4A-F93622F69C6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1F3FD76-C177-425B-B327-EDF0B97385D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013B492-AAD3-4E1E-8A0F-C3CA882389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9D5C702A-C0A9-41DD-B239-BB7A08E03D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59C43D9-3E39-4A72-AA4A-7280D64811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F776D5D-8ECB-4AE1-B9BB-15048949BB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2EBF2A2-8B28-44E6-9524-E8456E52E8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E8AE38F-72F8-4D3D-BF6F-B5F40F89A89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427D246-7E5B-433B-8773-C8E0081AF64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794DD05-41D4-4693-A199-20E0FE4ED0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6C114D9-48EE-495F-AF33-BE080F60F5E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534C1CE4-8905-43FE-AB28-B9185F81C896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64F0C359-135C-4DCF-88BC-120681A6021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F213974-DCCF-492A-B7C6-C994D100627D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149290FF-2074-404F-879D-E16E8CA24D28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05B6694-0FE2-4769-BC0B-5A85DAA48590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739E758-C61E-4F89-950A-EECF684382D1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D33454D-537B-4B9D-B6FC-5E66311616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6CB46425-BA68-41F3-8A7B-DBBF9FF8ED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E58866A-42E6-4700-9A56-D0741B47EB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9B351AA0-D70A-46F0-93FF-B3BA6CA799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BE3F4CA-5365-4F3E-BFF0-E83BB37193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FA892D9-4317-436A-9BF8-B94458CF13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B6B41B3-35D6-4B83-9271-2E87059036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7AE6B60-4CC5-45DC-8821-E984148473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37ED192-E62E-4736-8574-B4A23D1AE3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D9383104-AE42-4692-BBEC-00E8E837BD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E17966E-DB94-4697-9BF3-6FF72BD6CC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A1CD49A2-24B4-43FA-951A-1E69C83FD4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FC4EF102-788C-480E-A544-A376437829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81D6D8D-7E5B-44CF-826C-D6258060018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A44BC27-A5CD-49A1-9051-207304D022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8F4BA20-F399-4689-9E9B-E7BBF27B79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C284913-C0A1-4850-9F63-546676BDCC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B9F3A86D-317B-4300-8A24-B8D03FC676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1AFB876-E61F-472B-89F6-6A615ACE6A6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529CF73-846D-47D3-849D-04CDC212240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12A44B9-DF0E-4D28-9B97-F3877C799D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49FF8B3-53E6-49CC-9DCC-238400E32A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7A3D0E8-58F8-4DEC-BAD1-E77A0BFF09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CF692B3-FA39-4E70-A252-3DFB62DC26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58237C0-54D2-4FD6-9368-1F318304161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8BF789A-557A-4507-8705-6FAE29ED53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1F3E54D-088A-4804-9E87-9905742B219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B509E2E-81F3-4FEA-9F9E-B35CBD03D4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B607F463-7A1F-4C3B-AE7D-93CF2BEC7D1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6F18AA7-F9B1-4AD2-A3BA-68159E9AAC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D98BCCA-4FCF-4862-B798-823BDDB0FCC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301F99CD-48C1-41FC-84CB-5C62AE7686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932BBEE8-2BAB-4A0B-971A-35178C2E6D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2EE3976E-20A4-4BC1-A5AB-166B97FDBC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8ABF0D86-9F18-4695-8FE2-35F344C69B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B9369A0-15D1-44E7-B64E-D68B0F1146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B9E2CE76-EF26-4FCD-A4BE-BD183B46CA5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A21CE7C2-AFD9-4877-83D2-914D9DCD6D56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98C8DA80-073D-438C-A6AA-3F8F900EEE5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F6E56F3-961E-40CA-819A-5DEC43E8CF7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362006EB-778F-4FAB-8525-DBB3BD48613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19E55641-B47C-44BE-972D-C508CD201681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BC57A69C-DA8C-424E-868A-C935808CD2F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ED8B8BA5-EC92-4490-A5C0-13CE4D15D76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702A98BD-37B7-481B-AFDA-B69D4DE1F3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AA5D6C41-46FC-4142-BEA3-7218CE321E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42F874B7-80C5-48F4-ACAE-CA4E84927E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5606675D-F4DE-4764-A7DD-A753BFA3721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D666F2AD-D45E-46E6-937B-ECB1E5D154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457B1294-7CB6-4DB2-998B-4305A3508B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6D2B1ECA-2AF9-4BCC-808B-4715449F49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656E73B-52B9-4C93-8ADB-97921BABA8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A9FB525E-15E1-40DA-BF66-4B1FD06254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3F8BCA18-07D5-4171-9638-8A7BE0A9D23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78905A6-EB08-40ED-A531-AB668243B6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C6DCAA9-D7DF-4487-A9F7-F9850C6DE61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CF9C195B-C9D7-4698-8A2E-6F3EAE9388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32299267-C07F-4860-8055-647B85F0D3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32680024-C8AC-434C-8F22-25FBB24176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507A219E-7FDF-4B88-9861-946DF6D9F26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762000</xdr:colOff>
      <xdr:row>0</xdr:row>
      <xdr:rowOff>0</xdr:rowOff>
    </xdr:from>
    <xdr:to>
      <xdr:col>9</xdr:col>
      <xdr:colOff>78636</xdr:colOff>
      <xdr:row>10</xdr:row>
      <xdr:rowOff>129133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97372874-3C41-416C-B6B6-87CA8D138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218621" y="0"/>
          <a:ext cx="2180705" cy="196844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472DCB-0ADF-4E3F-A09A-3AD2491ABCE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D21C6B-D3A9-4BD1-9CD5-D8AF756960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91758E-6CEF-4420-95CA-1DFDCB3851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C6046D-17F0-4F2C-AB38-0AFA225E9F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94FF2C-749A-4D1C-BD1C-9AB06AE444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58F8B7-51D5-467E-91DB-2279DA399F2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6DC74CE-B2BD-4F13-A123-83007D84A8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A77F135-D562-4CF5-A564-34BA973F349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72E9FEE-C459-4D95-8633-260AC386B0E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D81BD7-B232-4908-B92A-39A08CCD21F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013BA6-39A8-48EC-9041-8BDDA844B6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A66C4B-1299-4F19-B2D9-01D656899E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F8578DB-3EFD-4037-BA3C-5DE88D51C5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E113301-24A7-45A0-A9E6-ADF3C04984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4195353-1E14-43D8-9413-0C8FA48CB5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B81F896-38E2-4271-99E8-82476EE645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454874E-BC06-4F5E-BED3-692C25ABFE6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EEF464B-8EC8-439C-99E2-991D939A39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0E55BE4-D6D6-415C-9F6E-2F7CAF9F35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58C72BF-0E15-4CD4-A873-2DECA7BBA0B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5551785-AFC6-4474-9530-E1AF2A8A61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223D639-6025-4345-BA8D-83796709302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3FAE658-FE49-4E13-8DAC-0EF7EC6603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F41AABF-4074-4459-BA70-3242A68887D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3F93035-4E7D-4867-8122-ED383CE464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297B2C1-C7EA-42AB-BDC2-B6C37B96ED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DF942C0-F240-43E6-9FF9-3095515B7F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B836602-AEFD-4D7F-BD17-C0ACD43973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0DD06B4-A6CA-4781-88D1-7EBDDC7762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4278742-EA44-4AB1-9D95-128CD0B900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A6D1D78-095D-44C5-BF86-6E516FF8BE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C3037FE-6406-44A9-BBC6-635BB9A29C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DD058BC-DCB8-4064-8566-F84C09CEB8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A981AED-FB96-4963-AA07-6B1B7308E06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DED299C-0D5D-4A03-B69C-4F38B0558232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13B42FD-64BF-4F86-A6D3-AC77E6D48116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E1E42FC-3954-4E47-AB8A-2A368019456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CC36AA-B35B-45BF-B3D8-2574FAFD2E5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2C01EAF-CD86-4802-82F2-29A37B2EE2F1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0977FBD-A9ED-48F0-B547-12BF21C62EF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9979CCF-F4F0-4057-88E3-23424F9A2B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4853107-1E53-48D9-828C-EB6536616B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45192C3-BA39-4AE1-B971-F1F935E968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0AC31C7-0675-4F6B-BCCA-7B710877F7B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DD7F04E-A20F-4B0C-A623-DC4C0ECB9F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2EE4901-7027-44DE-9EC4-1A4C4A5FF20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73D3593-01BA-4601-A707-5919101E2DE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EC7EDC0-9FB4-4DC1-B36F-6A94276ABB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DD5CAE7-007E-40DD-835A-A95838DE95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E02D98E-59F8-4D39-A545-4659C191EC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D3F193F-BD1F-4F0E-8302-074BBEC803B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A2D6D92-6CBE-47B7-8ADA-EBFB3E8423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7D59C68-B43A-4823-82D1-14A3B506FDF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41AEFE6-2418-4E3D-BC83-D4DDC07BE3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AB9526B-2E10-4732-9C1F-39D4F4A722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1D69C01-0A30-4B76-A244-7246B4F467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CFC2AD5-046A-44A4-83D8-9E157F6C0BE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2C158D0-EB4D-4E66-9679-78D8F32651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2C9B53D-E99B-4AAA-AED7-D78494BFBE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D7C10F7-3027-4432-ABFF-F5B5B4DACC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07FA162-F555-4608-B1C5-172363A028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347E469-E6C0-4C62-8D4E-A0AB33077F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179860F-45EB-4D74-8C90-C3DDAD7363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1F93AA3-2F90-4CAE-B02E-7C4F017F83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D21D9D9-5C4F-4BAD-8C03-6A7B76AF8E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8BD8F5F-FD3F-4415-8702-E9675FD4D66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BA82CD5-344F-4CED-B940-25148121A95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AE6D96A-292F-451B-9FF9-2CECB87127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7C5D647-8E36-46DE-879D-CC88FF0F76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26E3404-ADE4-4D1F-86C6-F6551BFFE3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4D1D7E1-CDE4-4F81-858F-9071CA49DE5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30E45983-4525-44C2-9098-0F5350BF29F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CF5226A-7DFF-4DAC-A994-B9667365C1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16A221D4-0607-4A63-88A3-F12EA4F6DF1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53CB56C-CE91-41D4-B537-157BB4311C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C9C21DC-AA16-4F89-89CC-0422B6E54D97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8115BB1-E18A-4DFF-AD37-C0903507D4C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9F6F502-1BCD-4A4D-A1DC-686FB4BCB643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C6BBD55B-E7E5-4D3D-B2F3-47EEA7EF96A8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838008A7-764F-4A33-9042-89C6B463A43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278C2B0-7451-4F0A-8CED-B53DDF8A367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0B5F3E3-66F2-424F-9211-8B1515F60A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E8F1C34-DAF4-4CA4-B8C1-44764A6DCD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32426F0-65CC-4E5C-A6FD-9598EF3C1A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5721542-A667-454B-AD3C-0BB24951704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FDF4E5F0-4B7B-42E9-9618-DA04C45146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7DCDC88-B44F-4900-B3F8-233E297BF73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4A2EFD1-1A70-4AE0-AA52-4212C85B0E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4FDA30F-C695-40E7-810C-A112B113BEB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645E482-56D5-4DD1-8EC7-6C854D23EC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E8F2C29B-0E7A-411B-9104-8BC2E56D2A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4D612D3B-34EF-4471-99BF-88C02B3C6A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9BDEE3C-E2D1-4F63-8115-AAAE840465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566381F-8A23-47C1-A22A-DA8BACBD4D1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A5AE689C-2716-4088-BC65-5436607A57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2504A68-D59E-4865-A393-CB7339A4414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AAE0DA7-EA5C-42FE-B2DE-EC18ED87C7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D34F23C4-7430-4708-9DC9-48371022BE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B5BE471-EA7A-4C15-B7F0-E45B089F86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818030</xdr:colOff>
      <xdr:row>0</xdr:row>
      <xdr:rowOff>145677</xdr:rowOff>
    </xdr:from>
    <xdr:to>
      <xdr:col>8</xdr:col>
      <xdr:colOff>788471</xdr:colOff>
      <xdr:row>10</xdr:row>
      <xdr:rowOff>106319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392A718-7EF9-48A9-97B0-F185F8435C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611471" y="145677"/>
          <a:ext cx="1942676" cy="175358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275DD9-A0AF-4F52-AA74-56B1B227F3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FA4FC6-500B-4557-AB94-AC898D049B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182F6B-B40E-4662-B143-D10BB5B8D8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56097C-6D3B-459D-8CD2-C3C75AD1FAB0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6C07D4-2223-46DD-9FE8-6A1573FEAD30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6CEADF3-C6F2-447C-853E-4364B580091D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60211AD-7879-47CD-8599-49F33C8924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53D5ED6-4C87-411F-99A8-24378892DC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A9ABC13-B626-4867-BA97-D82CD87BAA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80AD84D-2EBD-4660-A5B8-0142859375A0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B6B7AAB-BC67-4096-9F6A-747A6BAD767C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5D0DBCE-F87B-441F-BCCD-53CF72D22549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C6826EF-51DF-464E-8234-B37D276692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92629CB-0C67-4797-B02F-D753761949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354D43F-03CF-43BB-A3DB-4D7CB0FA751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062F276-86BA-40E9-86B9-982FE171BE61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F46E61A-A827-4066-9CE3-05E0129ECF95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5D93FB1-0C70-498A-A926-38BB46269414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4C8132E-74E6-4598-BA61-3656ECB1D0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FE1AB64-36D8-4D36-B0D5-7BE8BC104E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8A09B26-4EFA-4693-A68A-B6185C3AC1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AE6AA9E-B60F-4FDF-ABEB-CF3FDEFB4F82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AF0ABBD-B315-45CF-B1F4-9DFC44B6D5C5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91CB0BD-9D67-4136-9ED6-06700FAC24D8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5367C2E-C057-4073-8C40-DB99D34A93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AAF0DCB-6449-4251-9B7F-02B4EC9C3EF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B40C74A-0DDF-4C0F-B203-EE419D8E1C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638834D-E48C-4719-A040-6AE89EA1983F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7880CB1-F68A-4D5D-BE15-7434F5B91A24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52AB079-03A4-4BF1-AAC2-F8A28723D007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6C02B44-9B7A-4BC2-B421-D397540E65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495DDAE-FFEC-44D9-9FBC-1BDBF4D278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FAFF8FB-FFDB-444F-8664-1673FDE40A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2AE43A3-4573-4599-9A70-A98E8D2A235C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4A1272A-5456-403D-990C-B1D0F193B989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BA7A4AA-1613-4E30-BD14-062B1B10C5E3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7281DEB-6D38-4161-816A-C4CA58195ED0}"/>
            </a:ext>
          </a:extLst>
        </xdr:cNvPr>
        <xdr:cNvSpPr txBox="1"/>
      </xdr:nvSpPr>
      <xdr:spPr>
        <a:xfrm>
          <a:off x="12172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215EE59-F7FF-4451-BA54-380B7DEC9CAF}"/>
            </a:ext>
          </a:extLst>
        </xdr:cNvPr>
        <xdr:cNvSpPr txBox="1"/>
      </xdr:nvSpPr>
      <xdr:spPr>
        <a:xfrm>
          <a:off x="12172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EC11EA8-7600-4528-92C2-D32F1E9E5B55}"/>
            </a:ext>
          </a:extLst>
        </xdr:cNvPr>
        <xdr:cNvSpPr txBox="1"/>
      </xdr:nvSpPr>
      <xdr:spPr>
        <a:xfrm>
          <a:off x="12172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A7C113B-ADD6-4A2C-8B49-D6A01265FC29}"/>
            </a:ext>
          </a:extLst>
        </xdr:cNvPr>
        <xdr:cNvSpPr txBox="1"/>
      </xdr:nvSpPr>
      <xdr:spPr>
        <a:xfrm>
          <a:off x="12172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B914BBB-79D4-49E8-9D9C-1CABED40684F}"/>
            </a:ext>
          </a:extLst>
        </xdr:cNvPr>
        <xdr:cNvSpPr txBox="1"/>
      </xdr:nvSpPr>
      <xdr:spPr>
        <a:xfrm>
          <a:off x="12172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66EA9E9-808F-4F1D-8547-5BAD904148BE}"/>
            </a:ext>
          </a:extLst>
        </xdr:cNvPr>
        <xdr:cNvSpPr txBox="1"/>
      </xdr:nvSpPr>
      <xdr:spPr>
        <a:xfrm>
          <a:off x="12172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06135D0-F87D-495B-943E-0DB4A0B8EA33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4F3887A-7E8A-4B92-9678-6A37FE2C31D3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0232F08-ECE2-4A97-9874-40A8BDA95A77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07D0B62-7C10-4153-B6D9-5D42D714EAC0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51B91CE-A0FF-4B1C-A6BD-F06EE23AE333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14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2DE9BD1-BC90-4CD3-BAED-1C4096DF72CE}"/>
            </a:ext>
          </a:extLst>
        </xdr:cNvPr>
        <xdr:cNvSpPr txBox="1"/>
      </xdr:nvSpPr>
      <xdr:spPr>
        <a:xfrm>
          <a:off x="2876550" y="346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05D9FE9-3678-4CDA-AFEB-5C59A2D850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6FFF58D-664F-48E5-AD72-5BF2283F44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9A0ADDF-FFA8-4A33-B3E9-8B75655F58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B637F05-7BA4-45C4-95B3-F116772E95A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87BC3E0-5B79-4203-A624-6E061CDD2C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A017852-B9D4-4390-97EF-ED86C547E2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AFC3B84-1904-441D-A4A3-7042C3DE24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21506CD-8366-4DD0-85AD-6646D844E70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CD33B38-1EBB-43B8-8070-2BA6F34618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0DC59F1-7417-43AF-9154-8B2A83E543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5F81F70-3A2E-4081-A26D-3066E06959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E003D9B-3778-4C7C-A68A-4F8483A881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992F5BE-9631-4009-8D40-F398230CBB2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A2E5F1A-FDDC-40A7-A454-2699961C35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48D9DE8-B57C-4EBE-8922-9584F7CFDA5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3137143-9AB5-44E7-88B8-0A67183F0F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FF2BEAB-B124-4418-B4D6-8D7A58C149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DD33635-DB4B-43E9-9F28-058C660592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C5D1F1D-3E11-4071-97A2-A653B1BF0A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BBDEFAD-CDA2-4F7D-843A-C0B4D6AAEB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0A31150-A28D-4E53-9D10-8957C1A6A0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91932B0-1016-4995-8BA5-5CB2C0C057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1F07A42-F354-444C-8F25-9B35DB7FDC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560A2E8-F640-4891-B349-C48733F355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57147C0-FE1B-46F5-A590-3FA0969052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DB58405-1EE3-4F91-B435-A223150C36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574C8D3-DDE6-4FCD-9785-D2A346BC87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576716D-9A2F-4944-AB50-D5DDA17F533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F9C3A2A6-F657-4334-B2F4-2CD4B948F1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4A87697-C4CB-4824-99F8-45341E2EB1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8F63E82-3336-4483-83CF-043EFBBCDCE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610C4B6-61E7-4B8F-A540-729D2B6FF1C6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AD1A7661-E945-4A9F-94B4-E31A4E64B63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5720AB6-7A7F-4E9E-A271-2B9CD51866E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53BCAFE-F2E5-499F-8102-4356443B1017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68376EA6-B243-4312-8C74-369A983D8E8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D053D548-A2FC-4F4B-B35F-4D6807DDD5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EEB9A2E4-2E83-46C4-8E4B-3817E79359D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13E598E2-8F6D-4DE3-A698-7789A7B9431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C93E3B3-0CD8-4BC1-B12D-92C06229C3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D03D1A9-1568-44E1-B77C-113F0A0B0BF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50696FA-95F0-4604-9ED9-3A412F252D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4C3FFD8-E221-4CAA-B901-114ECF2FFEC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64A25C4-5A14-4F49-B861-51CB3F4986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FEAD4E70-B41A-428B-B1D3-F36D34E714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39CD6F08-34AE-4CBB-9FFE-CF4B2BE2BF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BD2D6438-6D41-42C0-BB9C-CB6D523444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3C380B5-B8A2-46E8-9327-D23D6A49C8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3902F14-9499-4201-9802-69E27B9235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7F695C4-A297-4D9E-9F12-D02824894E3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EB30252-790B-40E1-886F-2F4D5209784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BE46BE53-8093-4625-9527-D93FEDA466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5637CE6-B2EF-4F3F-97B1-3B20A50471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D7D74A0-AF27-487C-A9CE-A67E3556C3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960AE91-ADF7-4EA0-8389-E7984463DD5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1988128-98AA-44E5-B5D5-A775325A02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04F27EA-AE5C-415A-A2BE-62C12948D7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7DC40C93-46E4-49BC-A264-0B0CD13A7EB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BA660E3A-42B3-4513-985B-36F3BCE2BA1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00A1991-ACF7-4E07-8AF1-A730D7DEA3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F5473B7-3C08-45A2-A422-3B16A71EFA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DC29890-6FA1-4A18-A530-305FBE7B695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DB7CDA98-8F20-4F74-B9B7-B4C23EE570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8078F621-C3DC-4F30-B658-F79685C3C2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646FEF2-F202-4B93-9DEC-9A9F94F4E1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6992AE1E-37CB-4F5B-9256-2F39DA6486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21E3C2B-03BA-445C-BFE6-0A614913D72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512FC08-9DB8-4A55-A3E3-EB6C22108C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82258745-9B3E-468E-AA7E-82F0D987DB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C74C24F-06F8-4CF7-B0D9-248D556407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F234B001-18C3-4A82-9D43-CDF72AF204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5DECF98-6890-4EFF-A941-4CEDA181EF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5EF694DF-100E-494B-808D-C3640C37F923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E29E2CC-2EA2-4C6C-BA0E-049ADAEC4A7D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C426A46B-856B-4022-87A7-A4BCB3317185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F5C9ED4C-9E9E-45A9-8E4B-5665B80E36A0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CF21193B-C584-4807-81A0-2853D05B88B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855C047-4ABB-4ACE-879C-A6AD863467D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CF4A6D0-F6E2-4498-BB3C-4F0030734C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8252659-9ABB-4FAD-A103-3A859B09CF0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E4E35EC-3A0B-459D-B995-CA4B213C1A9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CE0A2C0-89F1-4CB0-AD2B-D906A6272FB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CACBDF69-612E-4915-A434-05465AD297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7836AF7-F21F-4886-9E17-33A34216D5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4D42CD5-B04C-49B5-89E3-5A4228E0B07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333E055A-C35A-4D6D-8B61-9CC176559F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1A763987-0A54-493A-80A9-39A30F0BD3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5ADEDD3F-6885-4061-8137-0BC3D5EEC5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96D41171-6831-48E1-99D5-6636887415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BE4B8E4C-833F-4F7B-8CA6-55EC295569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0114DD0-8130-413E-8D86-DD3578A65D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901C2A89-BFEE-481C-9DC8-D0836C14BE0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C4166A5A-AE5E-4868-AF85-C3C2CA7C8F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4193CB32-195C-4F7B-9628-68D7F8CA90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877125DD-C58F-4115-9D1E-0B439C1088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71F26824-7F1A-4892-8A06-A2A154800F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876300</xdr:colOff>
      <xdr:row>0</xdr:row>
      <xdr:rowOff>0</xdr:rowOff>
    </xdr:from>
    <xdr:to>
      <xdr:col>9</xdr:col>
      <xdr:colOff>466861</xdr:colOff>
      <xdr:row>10</xdr:row>
      <xdr:rowOff>150687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57AC434B-9809-4CDA-AB97-79BE90AECA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5924550" y="0"/>
          <a:ext cx="2171836" cy="196043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03DB3E-2375-4DBA-9341-D27E67315D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28E491-0CE6-482B-8A12-6ED151A132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39456B-F766-4F63-AB01-8EF67B302E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A873CD8-500A-443E-8049-1C7AB4FB9A9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395E1E-96BD-4522-8BA3-4EA4DD2D4B4B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10C64E-092F-477C-A99D-8998D76D7A89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69442C-AC0C-4E90-9E2A-1965C4EDD7E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C6F684-EE0A-464C-AF36-907B49DB5B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10CA6EE-AFEE-42D7-89E8-5BC2923DBC1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BE24AB9-5CD9-4092-984C-2AE35739EB8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CE449AD-28DE-49A4-BC2D-65007B0CE51F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15B95D-1989-4C10-98D6-4D7CB27DC93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1DD5772-FD4D-4C3A-9D6F-BD143DD748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D65C3CF-5AD4-49F1-9683-4AF41CE8FA2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1F030D0-9C75-4291-886F-822F570335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598DBC-2C3C-4E46-BADE-A0F4393817BC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EACAD20-E961-4EFF-A2E7-2EB97B0292B4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51A8B56-DEF5-48D8-9B6F-3A864414ED4E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40E761C-928D-4C27-BA14-A2FFAB563A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DD4CB33-D9C8-4E2C-B5CD-400D0F3319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639F514-5307-4515-AF16-5A419D7CD7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0FB51D3-ACE3-43B6-9E21-07E140D36556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3CFC628-075B-44C0-B4EE-10BC16C842F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139137B-47E1-40DD-A000-200F1187BE79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F68005D-4D38-4DC4-9750-2B3D695422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A775701-5BDE-48DD-BE76-EE1728314D5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967F7B8-8C79-499D-966E-EAA13B7048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5818D76-1F05-4131-8FC4-DDC48D97FD07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4478801-80F5-4ACC-BAAC-658F1D5FC986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6266B6C-6A74-4A02-A72D-55350B99EB8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D8B13DE-E5E3-490C-800D-87918B552EF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E8A7F91-9E0C-4EE3-83DE-19B2877AFBF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1D3E95B-6E7C-4752-95B2-F70AE81627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51E4707-8777-4645-83EE-17CA19301309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25FC8AF-1B3A-4335-9541-1981AC0DC958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FD92F28-3C23-490D-8490-23544E263170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245FCF6-9DD2-4E51-A9C8-D60C26FB1C58}"/>
            </a:ext>
          </a:extLst>
        </xdr:cNvPr>
        <xdr:cNvSpPr txBox="1"/>
      </xdr:nvSpPr>
      <xdr:spPr>
        <a:xfrm>
          <a:off x="1193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4EC10D6-DEC5-4D8F-8F15-8E4143334829}"/>
            </a:ext>
          </a:extLst>
        </xdr:cNvPr>
        <xdr:cNvSpPr txBox="1"/>
      </xdr:nvSpPr>
      <xdr:spPr>
        <a:xfrm>
          <a:off x="1193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11D31DD-7174-4FFB-8385-96402F77F873}"/>
            </a:ext>
          </a:extLst>
        </xdr:cNvPr>
        <xdr:cNvSpPr txBox="1"/>
      </xdr:nvSpPr>
      <xdr:spPr>
        <a:xfrm>
          <a:off x="1193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6DE411F-B44B-4686-ABAF-2D4F5B2D302E}"/>
            </a:ext>
          </a:extLst>
        </xdr:cNvPr>
        <xdr:cNvSpPr txBox="1"/>
      </xdr:nvSpPr>
      <xdr:spPr>
        <a:xfrm>
          <a:off x="1193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393F6A1-78BF-400A-894F-1B75B7D0AD55}"/>
            </a:ext>
          </a:extLst>
        </xdr:cNvPr>
        <xdr:cNvSpPr txBox="1"/>
      </xdr:nvSpPr>
      <xdr:spPr>
        <a:xfrm>
          <a:off x="1193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C7CBEE9-3F15-4E57-A096-1B1D9A337B58}"/>
            </a:ext>
          </a:extLst>
        </xdr:cNvPr>
        <xdr:cNvSpPr txBox="1"/>
      </xdr:nvSpPr>
      <xdr:spPr>
        <a:xfrm>
          <a:off x="1193482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53B1D01-8991-4C2D-9BA2-F3E2352E7358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7980E92-0B46-4B78-94F3-47CCAAD3D1D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4E29858-06E0-46BF-A153-FE666E20326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1AF09E7-C593-40CD-8A13-A79CA64824AE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341A515-A0F9-46CB-961B-34038411FF9B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4B6C2D9-1694-4832-A55C-6F89DB70308B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3AEBC51-163E-4819-B35B-17F58BAE50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49D0C67-2E2F-4468-AB40-D82B82CE90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31B3F0F-01A9-4E46-BE5A-BC89A55115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8EA055F-7D6B-4291-87D1-0EE3A579F6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B79C3B8-DEFF-4746-82C5-A4E88D2D202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51577BC-FF21-457B-AF54-A2BE5AB09C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58EE827-1911-405D-A0EC-1C99A9A11A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E453623-E7CE-43A0-8205-47999BAD59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DD79372-D122-49D7-B6A7-A8A1DA5EB90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2609A21-350F-4D25-9F0B-F3F0DCE575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AAE243D-4F47-4CC3-8F01-E1B7CC3D91D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FA960B7-0708-45C5-B6A9-14487D505E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919A03A-E4DC-4A89-960B-A054C20127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9CB5054-F3A1-46EA-831E-2320EE1E89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AC9C7A44-258D-49CC-96F0-21D3E558C1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FEDAFB1-F171-4BAA-9D54-6E6189ED9D1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758161E-1428-4A27-B5E8-B4DA83650C3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D37A807-4183-4C61-A52C-E2EF134B1D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3A4C76B-2499-4F40-9821-A0FF88974C1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280BDE3-C23B-47A7-8FF9-6FB6FDBC92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3102ECF-18C9-416F-B63F-B2EAD06D14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2B8843B-DB9A-41C0-B397-B2E7755166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C0E1B279-033F-4C2B-993F-A70A7AAB49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B82C21D-91A1-4C3C-B406-DED97F76BA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AEBC5C4-5CE6-499A-9C5C-DA9175DF93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904136A-8F13-4FC1-B86E-54923F095A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EB824FC-8630-461A-B965-C9F1274DA5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9A37D4C0-0A46-43D5-AC02-1C789FDFB2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3634F7A-95EE-45A5-B4AA-4608E2D1E4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6BBF5A0-66B6-4844-8489-81EC6BA335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45DB3AF-1A11-4926-B9BD-A0A39B1D76EE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F059350-F9DD-4E35-BB58-B25E12ECEF8A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D4D8325-2669-4076-80ED-4351387870D4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26B7965-8673-4B09-81C3-69956C13179D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7916838-6BD2-4C83-A725-3F12F9347C37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146CCFF-607D-43D0-AEBF-7D3BE340BA35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E3AA5F0-6850-415F-93D2-211D4FD0AE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F039C99-8086-42CB-AD68-49EC340AA5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1C4169F4-49EC-46F2-89F9-FB615104EFD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4DF95D8-62A0-468F-8964-8DDDA755BFF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A4D7DB6-775F-473A-BD6F-ED013C371A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9D384DF-FB97-441B-BB0F-465E2B2F1C7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DF47DE63-93D1-49E1-BCEE-37DCE105632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6F2D7F5-0C86-4704-99DB-EC29975A466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98AC104-27C4-4F9F-A014-5A5A57F26C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9A56D87-1C72-42CB-AADE-DDF5C69D36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ACEF6367-A534-477F-8967-2ED2249F58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2ED9040-B5FF-4047-A4AB-AFBE03769F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BB3B2EF-5E9A-43C2-9BD9-EC5AB63A15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B8747EF-7E77-4A88-8E58-33DD04F450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D8ED1AA-82EA-46AC-BB90-75517ADF8F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B8807959-ACC4-4A45-8CB8-8487A50D12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F4E4770A-BC35-4C89-A521-75988E70825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B136EA0-2BF2-4F44-A785-DEE6BC0EF4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FF78837F-A777-4AFF-B6CD-89C75B3D5C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A6CE241-F03C-41A5-B35F-B7F714CB8F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7FF73F0-70B0-4A1E-A158-33A973864F1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2AC5B8F-C48D-4F97-A514-09A8C0A233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D17267A7-5FD9-468A-B25D-4227C3886F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C486094-F84C-41A7-8374-ADFC817418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AE262437-0A3A-4CD1-991E-89F2187D463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A8CD3F1-B0DF-4714-A1EC-EAEEA062BC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AC9FA63-4D90-4875-A555-18FB22EEDE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306717B7-FF6C-4EFF-B668-8524232519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716F38D-A030-4FB5-9ACD-5B48CE2700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640048E-5FAA-41E5-8BD5-F1E41652F6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9912191-1506-4207-B49E-9C5E888210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CD64C660-C978-4C18-B6A3-5FFA658E65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FD0A867-1087-4D30-BE6F-C3A573D912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1121A4BC-BB38-4601-840A-BB40F6758DF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C91281E8-74B6-4B5B-BEB6-6F72C260D0A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803CBE2-5EDA-4219-9F2C-E70ACDF2A2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4045AAEE-0223-4AE0-9A11-1A250BB2806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0F15264-0E1F-41F3-94ED-49C8E71D74E5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5B63C796-8D2D-42F1-8DB0-D743757B9D0E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7D328CC-BDA5-44D4-9BB3-D68C67D811F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0744FBD-FDA8-420A-9ADB-222AC3145484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3579B352-5390-428C-8F69-52F2BA154147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1546BA3D-2D22-4958-9348-E30199424F8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DF9B42E1-2D33-4C6A-8B73-25DD9A565D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3F61326-8DE3-4DFB-8870-92EC2EB4A8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63063AC-34A9-4DF4-862C-EC5DF4C647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FF3B1BEE-77E0-49BE-A448-F2713DE0DC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8755B3A1-6524-42E9-82E3-40062EF7869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6CDE4F0-756D-470D-AE2A-287D2D6CCB7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3E4A9744-6425-4B3B-A7B9-2E317421B6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090A70D-F3EE-414B-A392-E1B671DC6D0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093E408-B352-4627-9FF2-A2110487B7B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B39A4790-2F67-480F-BD85-FA2030FE53B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0D97A0B-F551-441D-9A9B-A5844A7C7E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F4D6AEE4-1C91-4E8E-B5CE-975E649F1B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E91C6915-9CDD-4E5B-93E1-74777FA456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1E1BD60-D294-45F4-854E-5D500F2D57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5C3D9476-979C-4782-9145-C7BD355194B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C460BB5-24FA-4850-918B-1D1F9AEFA50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2D1DBA2-5D69-4BAD-AC01-E6B23159D0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511969</xdr:colOff>
      <xdr:row>0</xdr:row>
      <xdr:rowOff>0</xdr:rowOff>
    </xdr:from>
    <xdr:to>
      <xdr:col>8</xdr:col>
      <xdr:colOff>545442</xdr:colOff>
      <xdr:row>10</xdr:row>
      <xdr:rowOff>49829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BBA3915E-BF1B-450A-8501-D9A75A0EC9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477000" y="0"/>
          <a:ext cx="2033723" cy="183576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8A5ECB-CC7A-42F6-BED0-6C1625CD7D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6BF958-1B4C-4C91-A83E-A9557AF754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935E3D-0406-449B-A449-4F6E14D0FA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3901E5-9509-4415-A835-03D27D4BA8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DB96B9-524D-4628-82D1-68171F0821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041786B-E28C-4DF0-BD75-EE25A719FC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2C0F4FF-E376-4449-A80F-CF134C0B04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3CC74FA-1095-4C7D-93ED-8833B2CE24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225FE22-C591-4A1D-A308-1CEF57195E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395A936-E506-4907-8AA3-122BC5BDA3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EBBD99B-1B58-43C4-8DED-18C08BBA25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BC0495B-56C5-4190-90BE-8FF75B9D92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20F57FE-DDDF-444F-A1EA-430E638D85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79CD107-E81B-425A-B75B-913C3D4802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F5349C4-35CE-4E04-80B6-52956A0B93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A277EA8-F08A-4525-A6AF-0ABEA9284B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5496FE-8F1C-43BB-B9CE-FA1009E84C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4C46C43-CF05-41AB-A2FC-615B7573FE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D4A5F10-7383-4EFC-BF20-A253F72C597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29F5855-F566-4F5B-A967-326F9455B1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6D8F280-DA09-4C40-A5A7-423A3F82E5B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289B196-1B98-44DD-BB3C-92584C29B2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0A5974A-72D3-495A-973E-2C51692742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1F301D9-2A1C-4271-9A8B-A196C36488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1C7AE8A-156F-45B8-850E-75E882C9A9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5FB7B44-7C4A-4F6D-85E7-3919DEB15D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2D1F4E2-B8B4-4498-B503-DAFC372E97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A781571-7534-4D4C-B4B6-55D9AB865ED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A7AAA00-47DC-47A1-894D-19AA29CB43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71EEBD5-C688-40BA-86A1-0BB720D49E6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715AAED-C456-41A7-90EB-FA98438D8C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44B5614-7C5B-4900-BC2C-EA02333ABC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17F527E-E5A1-4C18-9351-8D2593D618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DB4C3E0-D09A-4DAF-9561-A78568707B15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CE98370-ED47-41B4-AD1C-B4441B79391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10D2E84-EF3B-404E-90D0-4CB5E2806801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E8D39BE-43BE-48DC-8BC3-3318C0416C55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5871449-F3C5-4EF4-B32D-7E2861BDED6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10797B7-6A42-4012-96E9-CDA7474860D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539D7B9-9060-4A49-80DD-968AF817DD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DE421AA-DC45-4A8B-AC78-91F66FAA2C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CCB758B-82F5-4AD0-A2D3-D43CB06453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C419188-464E-48DA-8E7C-2410FF96CB1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9610875-FE37-4B48-AB3A-023E0B6A8B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1F6C9D8-5A39-424F-8CA7-53585CF8F0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4D43B7F-8D8E-4BD0-BAD9-40715422B4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969945D-97F9-4E35-9885-6842004A0C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61E6C9D7-AC80-4210-8795-DA8756D5197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64C3CC0-D39D-4819-89FA-2BE3E71B42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9A36A20-0357-41CE-B9C5-E90C06CEB4A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7442D3D-7084-475D-B7B3-56898C6A4CB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C55DD28-ECB2-4311-998C-869E00B9A8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EC0AA99-AA4F-476B-8FBC-B449C053A5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40C83B1-1B18-4CCE-A55D-6FA358AEDA7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7302130-0BA1-47ED-A433-02ED8D29270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48FF56E-A39A-419B-90F6-EFFC2AA47C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009B6B8-4F05-4508-AEE8-39F218438B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F291B8F-FD56-40D0-92E6-42533DBAD8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1DE08C5-01F7-46D8-BE2A-8CE0FADA026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83CF718-A099-438C-B116-B440C9F415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CA7D8CE-96C8-4098-8AFC-1F1944A228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7736906-4BCB-44DE-A9D9-FCC62E3421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B5460B5-FC3A-4F66-9C46-1CA9121A9C3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757927A-B766-421A-B17A-0B040AD700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07D06E3-6B82-4740-9ABE-81FA0DB8F32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08A47B9-121B-4D1D-9CA8-8D87853FF63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B6F4819-A95B-44A0-A3B9-B42C2C6E2E7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5CA9268-3182-480D-9804-7DDC92E39C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1CE6791-9DC4-4D6B-92BE-6E19B38EB9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BD0C59B-310E-42B7-A4A2-F8C9B15DCB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F2E4328-087E-413C-96AF-40B0910683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F50FCBD-CC7E-4532-BCAE-B80611BFEF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71A77DD-147E-46BF-B309-CCD0BADCAD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5E77B83-B78D-4176-95B3-10EA79FE5C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B179CD3-5B37-4FA9-A5C7-CC9AC8AAF3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269E0D5-2D08-4C08-B7BA-4BA7A7BBF94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11ED1CE-CED2-4718-B805-0945195B014A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0B89E60-436C-4006-ACA1-E948C8548153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9E07AF8-594A-45C2-ACB3-418B861B899D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9109CE4-7975-445D-A291-65FDA2F07CDA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940F544-8354-41FA-88B1-F69BF77312B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A07F4B3-2177-4946-BF99-57BB667B085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97478DC3-1756-4217-896E-8D11ABA098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123AEC3-EC4B-4ED4-8DEE-AF7F6A5F38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8B56FD0-863F-4EEC-B689-CAC47AA978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5F366FA-9239-4787-AC3D-AFA867A802D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35AC1B7-7F20-4A50-A444-9E0C2DF99D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A4234F0-41B7-41AF-991D-83DE0F5E4B9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339B60F-45EB-47D6-9D63-BF9DB0E13DC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D305CB5-C119-404B-9F49-898DBCCE10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7384A0F-3DA5-40B0-854E-F4E3A83F49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FB2F077B-6238-42CE-A4CC-5FC61B09E8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6678796-3A05-49E8-84A0-097B79627E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43AA9BB6-7932-4819-85AA-8C50A9D5ED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577CE4D-9BF7-42D7-8CB5-37433E606C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94853DE-5265-443B-B458-D312A442EC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1304BF73-AB71-43A4-86F6-33F3278129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E333FD7-1B5B-4B5E-9769-1457B9805A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F2E81E2-EF40-46CB-8EBA-4A2E83E78B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163286</xdr:colOff>
      <xdr:row>0</xdr:row>
      <xdr:rowOff>0</xdr:rowOff>
    </xdr:from>
    <xdr:to>
      <xdr:col>7</xdr:col>
      <xdr:colOff>1120912</xdr:colOff>
      <xdr:row>10</xdr:row>
      <xdr:rowOff>90060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B57CC61-49CE-4A5B-AB0B-60D20FBA8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576786" y="0"/>
          <a:ext cx="2109697" cy="1904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018E02-1F60-492D-A7FD-F0A10F7EFCA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C8839C-565F-42F4-8488-0A68218E9F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78767C6-557D-459A-AEA8-594697D8BB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D0EBE7-2FFB-4E0E-B6ED-966A6AF248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A03407-59A2-4BB2-9D54-271F348598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3A1C6B-299F-4983-B274-E1837298F6E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C748209-70D0-4421-946B-5653886C17E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FA72C0-5180-49FE-87A9-3FD0BCF30CE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5F9C5F0-1125-430B-9F3E-37DF8F6FEBB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4E8F65E-6439-4450-B2E0-4C97170FDA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43198A0-F85B-4E5F-90DB-EC4F5C0D9E2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DD1E0E0-0FB4-4264-9737-AC8F6708F77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EF73490-6060-40E3-B6F9-B99C78F724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A19886A-15C1-449C-91FB-ABA96CAE4F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2044859-385E-4CF2-B345-EBE9C33E85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0FF6703-7F0A-4090-B928-97C049AB26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662FA90-F599-4E34-9A1F-09516DC3C9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CAAE132-10BD-4C9F-8F58-47758FB5263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642B201-786D-46CC-BE39-D7B446831D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DC8942A-7422-4842-8468-B78613329F7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8D85A8F-8AF3-4F2A-B3A5-51EA290743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8D9DFA5-7D35-4924-8E42-18EB0671CD8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066CC7E-0089-43B7-AC28-F562A342BB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2F721AA-D3B3-4E5D-ADDB-FBA3BEFBC70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8BB0493-E3D1-4DC0-BE9E-D0C61959D4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5B5093A-3548-482B-82F5-76D92ADE31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A8DC37D-FED6-4A8B-84FC-8E6AD113A3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816C8C7-6063-4C67-BAFC-A568DB2691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D9F4457-647C-459E-A050-166E695B39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B404C74-BC96-478E-8E9F-25E8842748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E5CDF16-D4C2-4759-9040-4985D02704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BAF8248-1711-4ADA-8286-AA41C52ECE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202D522-7A10-4B59-B71D-68AFFFE4DD6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220B9D3-A7CC-4CAF-903B-1867B2DCF5E9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83BAB1B-1AA2-4A67-8DEA-9DA18D043628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2F19C66-FC48-42DA-87EF-26765CC635DB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263041D-B18B-4AA0-A2EC-E0EE50270C3E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1EB9178-FBA9-41E5-B694-B9DF3095D8F8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588ADD9-346C-44E4-83D0-66B62796100E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DD6F7ED-B6BE-43BD-9445-B8D664E375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58D889E-51C8-4ACE-B792-25ADCFA41E6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7470FA4-9FBE-4401-B3E2-7247B6FE2E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3E7C04C-5BC8-4B39-A4A6-6E4976697D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513319F-10E0-4A1E-BBDA-9FFEB720CB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9202E0-DEDE-4405-917B-B9801A33CE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BC93FBC-4C97-43A3-9A37-F40A7C147D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8188FA3-8EC3-4F55-9FE4-331CFC4237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9052D77-8243-490E-9C5C-97C2C23C4C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5DD1CC5-78E6-4324-A7F5-8E3944B056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68B520D-5678-41AE-BD72-FB30D5FD915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FBB1BCF-9F77-4A1C-9241-D798CDB234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AC48D6B-5812-4CBD-94DC-BA8B1EC408D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F5F2C9E-D45C-4120-BAEB-8F738A073E4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7472B0F-02FA-48A4-B2A5-CD2859EE29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81C5B5B-E0C6-449E-921B-23E671D296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D8BA9E8-B6D0-44F0-A95A-8E20345BC8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9CBCD43-CFE1-4426-8F14-C9CA9B2495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ABA59C4-EE72-42BE-8072-412DF9BD776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478A24C-D225-40F0-A094-07A216FEF6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DCD7721-7ADB-4948-BD8A-B703F10E94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5CF527C-5823-4C5F-9263-5E4886AA11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497458B-95DE-4518-936D-D374EC3790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DDA631C4-4B58-42CC-8290-9C07E56D11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9D86A35-7189-41A4-B83B-D263744B98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7B10EBD-7EA1-4AB3-AA2B-AACB7119A1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91C2D46-13A7-406D-88E3-7EA26C27C6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480C054-94FC-4CC8-A4EC-94F3291DC1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6ADAD62D-185B-405B-9267-3A6913A346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B899662-1FDB-41C2-B45B-6DB854CB32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3D60335D-D05D-476A-AA4E-FF8B11940A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731C8A3-F8DD-4890-B7E6-3361A34FCC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BABA948-6562-40BD-9F98-627197A5E60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1B2E0A7-C0AD-4E12-BB2E-A79B9C7B43B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9ED347A-F382-4264-A74D-E1B533C99F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56728A6-255A-43E0-9A27-E37D2EB882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272A3C1-3331-4731-8D92-E623ABB31C96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D399FAEE-A58B-49F4-8DC4-642CF0E7C3EF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C4D4C1E-FCFE-4EC0-97B0-2511A408311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56AE28F-D8EA-4E49-9731-130BA1F948E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C22AC6D-E89B-41BA-B58C-08572F9DAE7C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2D16C9E-0A40-4E06-87DD-098C6CE027F4}"/>
            </a:ext>
          </a:extLst>
        </xdr:cNvPr>
        <xdr:cNvSpPr txBox="1"/>
      </xdr:nvSpPr>
      <xdr:spPr>
        <a:xfrm>
          <a:off x="155733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B628CDD-CA45-4057-B909-963C45353F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C32A8AB-19C4-4691-8360-AFD9631575D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EBB371E-EDA9-476B-82AE-4A21BE586E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220D7AF-E340-4D6A-AF50-120688B5389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8E9CC12-174A-477A-8100-C9DB107C6E2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F48821-4C0A-4E69-9C92-7E875CA0F5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C02AEA0-EBD9-440E-A4E9-BABA27EC96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464525E-14E1-4E98-A04E-F5094E5F064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068BCDF-FC77-4F68-8A50-D4DDD4DF52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0D97399-D950-4DF7-85A7-70E09C621C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DC3D924-8D7D-4452-B844-4A90FBD99EF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AD8C58F-C32C-46E2-8340-1B148CF23B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1A2A569-13E1-4893-A812-1A365C7B89B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F6264B1-5764-4D1D-9B31-82565B2F6A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C507550-A50E-464F-8E5C-4872F61F1B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72EF644D-07F7-4048-8DAF-DDF2FC8867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F198E07-AC7C-420F-A17B-5CA451F0A1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3379DCD2-3310-49E8-8DB1-DA60D0F0004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856074</xdr:colOff>
      <xdr:row>0</xdr:row>
      <xdr:rowOff>37629</xdr:rowOff>
    </xdr:from>
    <xdr:to>
      <xdr:col>8</xdr:col>
      <xdr:colOff>509429</xdr:colOff>
      <xdr:row>10</xdr:row>
      <xdr:rowOff>170642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B9E008DF-4A90-49F1-8AB6-C679FBACEC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942667" y="37629"/>
          <a:ext cx="2127503" cy="192042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EDD8CA-C2CB-4ADE-A117-E4D57D3666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33F66A-B062-4BA2-AFC2-E03967008A3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8DB9ADA-C7EA-451D-8AE4-9BBE1D1A5F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FFEADB-6931-4875-AF1D-3FE81E0D59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95D16CA-41A7-4EF2-A9E7-4477738742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8E60649-6B8E-4525-87B6-EDB5A4F99A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B89F00-1402-4DCC-9866-D60E0A580C9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7D2E62C-84F2-4789-93AC-D0A1D5CEFA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582EBE4-7EC5-4981-BD38-77BC86C22DC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07378B1-36C5-4EDE-8B16-6917B83343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6FE2231-AD86-478F-900E-5BF708E9BE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FEE7DE3-3E5E-4B07-8B6B-68B7927D67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ECE3F08-96EE-4EC5-9779-B5C0B71881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96DF359-EB29-456A-B4C5-34639999D52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2A1AD9B-99AF-4645-B3E2-C5F489E82D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197653B-B7DC-4198-811D-92E863ED614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D9517B2-00B0-4F06-B0AA-7F3436ED05B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D24B49E-BBF0-4693-8B73-9015F041E34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DC05E00-060E-40D7-B02E-DC37917EC2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B613873-EDAB-4589-80F3-3CBDE50B131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13D1E82-B414-421E-B54C-9D5314455D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B91FA27-C61E-46E0-BB99-B79AE8E3DF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B0F8DBD-2E76-4BC7-8536-30399484D4E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E63D8E9-7D2D-4023-B418-CE8A9A04C2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253027F-71B9-4217-A846-8FC35C554E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CA0A456-327C-45DA-8EA8-5260DC7D98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552C87D-7DC6-4210-BBD7-6FAFCF8181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8EFB2BA-F3F7-49A4-A0C8-0035543A98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0283BE0-B925-4759-956C-39D04A024A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4BB4745-2337-4413-82B5-A84C006AF5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9EA310B-DB13-44A6-9F24-1640B28E90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7087413-DA1B-4614-8898-050E86F46D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31ED737-6BE1-44FB-80F6-E0B3C1A48DE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313C5DF-985D-4CC0-AAE0-AC7005D4DE0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6CED889-CDA7-44FF-9445-3A10C252C4E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F78E1B0-B37B-4C98-8792-462E811113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6DB66D3-8E4E-4266-91C9-17FB5D06FD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A61F274-7529-4B22-B609-E53D7971473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02EB3B1-3F5A-4CC3-B94D-09F24D9D0D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D73727E-D743-463E-A444-50F5F67A0C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6D3BA49-471C-404A-AA6C-442B7DCCF6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7447507-DC4C-4272-B680-553FEE613AB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204E28F-C924-41CA-9312-434FA3C9FB4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64DB6F8-3D94-4CD0-AC5F-5C39359CB9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F297CCF-539B-4606-8CB7-74C95BD5DEE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FACAC3E-0BD7-4C71-94BD-876D9AC79B7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45EF900-9A4D-4E72-BBDD-55F77743F7F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562036E-F0C3-49D6-95CB-2671389049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05CBA90-FD32-45F6-92BE-BCDA511BFC03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12C6B22-00C3-4CA0-A057-A3493B21FB4A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0424F39-EB6C-4C2F-994A-33E8F0DDC724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D84688A-96F3-4561-B047-E32AAE517982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8A258F1-76F2-4FCF-86E7-7B02288959E1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41246A6-2EDA-439D-86F3-46E046F22A6A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C2D68C9-3D1E-43D8-B510-2AE670A74B1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B685C35-F56F-4C76-8151-90AF923ED34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5656143-A9C8-425E-9F3C-B6F2F46BB2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F73D7FC-944A-4AD3-90DD-5E4B0076146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DA33FE3-06B8-4BA8-8507-7CD3288545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1CDB458-4A6A-4D92-8240-3F0C574648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DF20CD-D249-488F-ADB5-D2DBCDBA36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2B8339D-0DAF-43B9-9495-B4B301A7A8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AE587FC-59A5-4555-A0AD-A5CE5CDAABF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ED499FF-8711-4294-8FA6-4FFA74DB067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9A1C22B-CF4A-44BB-8544-42ECE7E726D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F0CC682-B5BF-459C-BB14-DA3EE3806D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5B16CE9-A7DC-4C3A-AA69-BF500244BF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8E81BBD-C7BC-45B1-9DBA-C85653FE5F3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D81490B-5BE8-4C5D-BE01-965DE05C26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3844DCD-E1EA-44A2-8FAB-FB994A299C0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EC5A413-0712-4910-A672-1AC8ED04C3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EF9A5D9C-4CC9-49AE-BFB9-5C7C0203F9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726C148-5834-49A5-ABDE-C7B801DC25A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5456142-4BB1-45D8-8888-080CBDDF80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DB8CB4A-D2EB-420A-8AC1-89EF7BAAA2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86A05CD-3259-4C0A-9B0E-160F6A58EDC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A6A1CE9-8ED4-4B65-9EFF-0E2B5FEC1D5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AAAEFF9-5D75-4B50-897F-CB5997CDA9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B75F689-400A-4E14-B993-05062290B0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DBA85F43-14BD-4061-8D9D-D81BECBBF0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3BDFCC61-B849-4715-A86E-B72E1C45813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AC290B0-00B5-4311-90B0-FBDDFB80C4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6A66E44-32D5-45CB-8016-BBD601BA55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0BC78FE-F9AB-4E36-87D5-44BE68B64E4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3B9B24E4-7A22-4EB1-971B-381E221E7A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1F31383-01D2-4AB2-A78A-358A86C3CE3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B4D8412-E9F8-4E00-B05C-B9CC621361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B64A745-EAE5-49F3-BBE7-2AFB78C04A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995666F-711D-4AF1-B955-FFEBEE4B62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82B01928-AF88-466C-8785-E974B8D514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435BE1D-CEAD-4EE3-BCC5-1FCA673339D2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564BDD2-7A1F-43CF-9290-0EEB0B89F0CE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61D2B15-D634-4B5D-80E4-9A97032FF077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726FFC3-4087-42B6-923E-81A25EC93F66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A3D2536-00BE-449C-B154-69F28994FC03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A35C83BD-9D42-4E14-B3E4-3D6D792EBABD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D6869FAF-4087-4D64-ABC8-FAD73431CE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50D14022-4AA8-40CE-966E-9AED542DD4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CB8EF2C7-E468-4751-BB32-73B13FE583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D8FEEE0E-0592-42B5-806E-8845193535C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386635C1-EEFE-47E0-86D5-6499DE49292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F8A1688-27B8-4F1E-A494-5F1E0340FC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8C337A6-A13B-4DB2-93EA-898517FB75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5F7AFB44-B895-4BD6-A339-D95ABCE9F2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372881A6-16A5-4E2A-A2F1-447CB24221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1E4F98B5-3157-446C-A557-BBD9069B1AA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4BBDC419-1C04-4EFB-9EBA-E67726B58C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A3A4B3AE-4670-473C-A5A1-F654D62745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E138C8F6-A897-4DB3-8578-C91FAED5664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47367A83-6A11-45E3-B1E0-337B22B657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EAD1995-7B08-4329-B9E9-3323D5234A8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886B72-BE05-4BDA-B9B0-99EBE34308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B027730E-5DE9-4F9C-9FB4-26FE2C49ED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73ACE12-D8C6-4AF9-8C37-30AA7E25C0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631658</xdr:colOff>
      <xdr:row>0</xdr:row>
      <xdr:rowOff>0</xdr:rowOff>
    </xdr:from>
    <xdr:to>
      <xdr:col>9</xdr:col>
      <xdr:colOff>155042</xdr:colOff>
      <xdr:row>10</xdr:row>
      <xdr:rowOff>36687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09F04B9-1BD9-43F0-BA80-3D0393797D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386763" y="0"/>
          <a:ext cx="2039990" cy="184142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42F9E7-52BE-4DAD-9F47-6363752EC03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060838-BE73-4474-8693-7C745580A57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8F8C586-B660-4CD8-9ADC-C98DA581D6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E7F980-B82D-4780-A392-E83BEAA037D4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52A7D11-4001-4C76-85ED-74120369EC7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729585-0214-405A-A5C3-9BBA4C6E611E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3108FE0-214E-41E6-A6B8-980EE9DF05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98EC874-33F7-4AB1-B215-FC23DED3C6F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0D82D0-F779-4706-9A63-F7532D95F9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EE7CD06-9BA9-4085-8B13-8E02321947A5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1DBE7BA-CF5A-4907-9195-36E6D8E6046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4A487D-87CF-4D84-94CC-EE45FEE5D193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658C147-1B10-440F-94DF-14C6CBB223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51E5D0B-E977-4AD3-921F-DA17E7E2440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3580DE5-0757-43DB-9EAE-A8957A4481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212C9B0-3E48-4D87-922C-071CA37114F4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33A3EB7-60BC-40B6-8F50-519A2A0387D0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70A426D-574C-4F5B-A58B-0DE08BC347C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2EF9126-4C0D-46F8-9DCB-46937C8A33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C5EF128-0BD6-4922-B7EF-1145E4EFECA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16981E1-EA7D-43D7-AE53-1F3EF38F61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758AB2A-31DB-4314-80DD-7B313B53FC26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35A3CB5-23C8-4C4E-9DC4-2D9158DD5282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BED1F46-1A33-457B-A5CB-FE889C66EF49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0F98F81-932F-4396-8239-84AAA30D292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08AD1B2-8FC1-4A0F-B828-AF74EA0677D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21563FE-7260-4D32-AE19-9AE96A8BF11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685ACA9-1302-49F3-88B5-402E38345938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FAA70B2-7ED0-406D-A452-B047581F055D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B590877-EDE1-404A-A730-425CFB61AB68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E5A76F3-188D-4DA0-9899-E45600AC52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EEF6982-79C1-4196-B371-8CD6FD2BAC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7377823-1B8B-4FD4-92CA-AC5BBF9E1A4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CCD5314-928A-434C-A442-C0C5FE9AD081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470C840-928F-424E-B57C-EFE6DC19F248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1937A91-F233-4128-BFE7-73106B1ADC0C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E9D199C-2F01-41A1-8A17-DD940BB83622}"/>
            </a:ext>
          </a:extLst>
        </xdr:cNvPr>
        <xdr:cNvSpPr txBox="1"/>
      </xdr:nvSpPr>
      <xdr:spPr>
        <a:xfrm>
          <a:off x="12296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123F080-9802-4CF3-A868-1E7920F27BC1}"/>
            </a:ext>
          </a:extLst>
        </xdr:cNvPr>
        <xdr:cNvSpPr txBox="1"/>
      </xdr:nvSpPr>
      <xdr:spPr>
        <a:xfrm>
          <a:off x="12296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F5B11D5-398C-427F-B03A-467C586F8BF6}"/>
            </a:ext>
          </a:extLst>
        </xdr:cNvPr>
        <xdr:cNvSpPr txBox="1"/>
      </xdr:nvSpPr>
      <xdr:spPr>
        <a:xfrm>
          <a:off x="12296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F206D44-3058-4EF6-AA52-CA595F9FEEC1}"/>
            </a:ext>
          </a:extLst>
        </xdr:cNvPr>
        <xdr:cNvSpPr txBox="1"/>
      </xdr:nvSpPr>
      <xdr:spPr>
        <a:xfrm>
          <a:off x="12296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CC6E2B2-CDE8-45B7-9B51-828391BF090C}"/>
            </a:ext>
          </a:extLst>
        </xdr:cNvPr>
        <xdr:cNvSpPr txBox="1"/>
      </xdr:nvSpPr>
      <xdr:spPr>
        <a:xfrm>
          <a:off x="12296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CAFF937-A9A7-44E1-A137-4EC5FB59646D}"/>
            </a:ext>
          </a:extLst>
        </xdr:cNvPr>
        <xdr:cNvSpPr txBox="1"/>
      </xdr:nvSpPr>
      <xdr:spPr>
        <a:xfrm>
          <a:off x="12296775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99D516D-93DF-4CE2-8905-1D7A7C81B994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496CD14-8A67-4B7E-9F76-F71F9643BC0A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81E0601-E999-446F-9F73-B014ACD1F90E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BE8E86E-1493-42AB-B7E9-CD6C1D278DAC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7158A9D-E571-4CD7-A2F8-425F61EAD1C7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15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46C33A2-5AAB-4158-BD5E-B3B0F68695BC}"/>
            </a:ext>
          </a:extLst>
        </xdr:cNvPr>
        <xdr:cNvSpPr txBox="1"/>
      </xdr:nvSpPr>
      <xdr:spPr>
        <a:xfrm>
          <a:off x="287655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DB11AD6-8805-451D-A095-6A9ABA75BF1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D8BB944-5BB9-4E4C-B2A6-69EA2CA6D5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4B26C13-C03E-4846-A834-652AAB9807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29C6539-D712-46C6-AB97-FABF777F8A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DEE0105-1100-489C-8801-1B3DA09AD8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B4FA179-4CE8-4E39-898B-0A93FC7927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C22C33A-80EB-4CC3-AB47-6B0CA0F6E1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CFB4B03-9F7A-4DE4-ACC4-73BD62DF1D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7BA08CB-D132-4116-8607-8DDE4869C78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FE1851E-21B6-48E0-92F2-0259AB3284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B34F153-8914-4360-81B5-E25DD43D65F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A5BEB76-93EA-416D-88F0-C4749A2D8E7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847C988-CB8A-49B2-91BF-BA5FEB61087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B5B8889-5887-432B-A2B4-BA9D14FDE4E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53A321B-DD8C-4DBC-A087-C01DC6673E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A73E674-8BB1-4F1D-8C24-92C4961615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961982F-8451-4D71-9EBB-72A9EA67F26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96B3D67-0700-4DB3-A231-552C10AF55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5E2197D-56F4-4C2A-A09C-72F4A4B108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68393B1-99EE-4A04-8E9E-67922532F60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50635CB-059A-418D-8DC9-BA0F14869D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D77B5FCA-636F-4A21-84C9-37155362925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567F4A7-9403-423F-8A40-14D0F0B7E8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E47F4F7-0E6C-4336-A3FF-3E1ACB1B9DE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93B71AEB-FB2A-4A99-A534-CD871F24572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F2C7C51-AB45-4388-B7B3-C3D50FED980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7381748-015B-4227-999B-263AD1A7B11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5BFE81F-16F3-4F39-8D19-1BC4CC833CF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2B8CF61-E293-4886-BD48-8B4DD1B88E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0487695-BA9A-4CF5-925A-EA10F6FF1A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5198EBBB-975E-4CA5-B256-B5983E957F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4C18695-2CC5-4646-94AC-5E33F7B1D6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BE163CC-4C98-416A-B94C-6621C72BDDF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A9B307D5-A690-44EB-80FB-C712EF8BE1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804130C-36F4-4DA3-9644-FF48153B03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F3316D9-5F51-4BA6-A85F-BE2BEB08D4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5D6A7775-C4D4-48F2-AFA4-B5E569E59E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60D656C0-39B5-43AF-BAAE-FF465004A7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14AECBAE-8F35-4981-86C8-441E2C657FC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9674776-B48E-40C1-BF01-81C13726464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6580343-E09A-45D0-9CCD-AA56A67CB0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EFAA417-BE8B-4811-A74C-8508B2CFF1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514DD1FD-7783-4E88-A878-2830A1FA55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697407FE-E97F-4328-B36B-9FC34F07A8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68A39441-94DC-4BBE-96AE-0F6E9684583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88813550-ED72-43F4-A3C9-CF737D5787FA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B8A3D8AD-C7F1-4BF8-BB04-D3D8876E94E1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0186C60-60F2-4CE1-98DD-6AB5F60E45A4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38B09376-C8A8-49CB-9E9C-AE9ED18A7432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C341AE5-F161-42A3-A23C-B7015EBFB89F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3D750DCC-1B86-4285-A1F6-26A8D8774A60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293EE5F4-34A4-4872-BDF0-2000EFC199B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8D33933-103E-4019-92F3-C9FCBD85141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E5FB61C-C825-4F2B-9208-D7C41DD6C4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120D2E6-9465-4E74-9ABB-570DDD46D2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15F3108-B4A3-42DD-96EE-78C67F46DE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9EFA1D8-78BE-41B0-B4B0-EDC220967D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3266CED-68E6-45C2-9125-DFFB4376C7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ED9EF07-9286-4A69-BB7A-9C15383763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5B595D2-5318-419B-9652-66DA9CDD6C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1B0B5248-B248-4647-978C-7C33E216912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702BBC6-D1D7-4CD4-B8F0-F70B0CD5A92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37B1484-7D35-466F-8722-50B00B7548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F6B1659F-72D2-4217-8849-910A395C37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15378E0-3D1E-4400-B0BC-B60D5F78B3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378A6E5A-C24E-4C26-977A-CF04020E87A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E8F3CBA8-FEB4-4395-8E11-6C02013BA1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FA883E1-164A-4824-9F40-8E568EBC9B3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E70859A7-52A1-4247-A8C5-8E30FC09DB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A351EC78-4F3A-4569-B109-082A69F5ECF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31AA797B-611D-472C-9219-82528AAD0B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9A2EC9A-FD56-4C7F-BE31-1C2023B2F0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BAF7CB40-D9F5-4FEC-BE21-B720D2C4A6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9EA8756F-1CA7-4F7D-AB72-D0DA5A66785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866757A5-0966-4090-89D2-1C2C3323AFA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3B94A8B-455E-4417-AA3B-E545FE20D9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9AE8645-7BC5-4181-8113-AB2695D4B1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C480E425-B10F-4841-9D7C-07A0C73564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0088DD4-45C9-467E-818B-B941901B0C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9865DB70-5578-49CF-82BE-558DE94C41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D94326E-490D-43B9-97BD-C3843C3581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C2BA5C5C-9426-4A8D-86C1-79253349DA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9E54493F-5614-4FE8-B1D9-20256378DE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7E9393A-8A9C-42C2-87D4-947C39855A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1F1B9576-38D3-4EFF-AC46-3799798786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990CF6D8-73CC-4767-89F5-B50C1D16CF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21DCE81C-6843-4E13-BC75-381EBC707A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A6D59D7-8660-47DD-A8CA-8A47621D4DE5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62EE5AF-C451-49AA-8771-E4EAD00E0200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DCC4276A-C92C-4064-BF79-184E58CD951B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93C7267-9A00-4C61-9190-8D47A9442FB3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B9EF584B-60BC-44B9-9F77-9A01BBCB23B6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CB08EE99-7C26-4A1D-ACC7-5D4B10ECA674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3852CCC9-F5F3-47C3-BF99-40DF9A0ECA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D92D63B4-74D5-48EF-8562-6670926F82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677EC5A7-7D8E-45B4-98DB-1D4BBDD6149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515B49A2-C666-439C-90C1-4D831AE1A3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D3739A8D-82AF-4B27-B2FE-D2CDFBE370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A8C45EA-7741-4896-81F3-73E05EDAC3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E1F1752B-6259-43CA-B7FA-1F2A60F9D25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B35CC06B-2483-4600-9B41-AAE3E8B558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BCD21BA6-CD73-44D2-94AF-94FA9AA697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3B3C1CC1-ADA3-41A3-AAD9-2DE97B7BBB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ADDB4497-7338-48B6-AB83-045386A5E4E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F8FF3754-0B73-45D8-A32E-B80D46C50DB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0B2C7B4-79B1-4B01-B35C-FFCC38B351B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83CCD4E7-283E-48B3-A1A1-70C58D9308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172035B8-2A08-4278-828F-A6C54805786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EADD65CA-3628-42C4-AFA4-FF827B74B5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44F5D4E3-C8E7-4F44-B36F-3A3ACB6407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290D76D4-346E-43C8-B1A6-863492780E3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213360</xdr:colOff>
      <xdr:row>0</xdr:row>
      <xdr:rowOff>0</xdr:rowOff>
    </xdr:from>
    <xdr:to>
      <xdr:col>9</xdr:col>
      <xdr:colOff>379231</xdr:colOff>
      <xdr:row>10</xdr:row>
      <xdr:rowOff>164309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2B8200CA-C212-4728-AAF2-090AB17957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278880" y="0"/>
          <a:ext cx="2208031" cy="19931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9C8189-6025-439F-85DB-C9A77DE1EE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D63BCF-D1D1-4C78-BC78-D02064A117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E7B1AED-182F-400F-B707-F1A74FCBF78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21F6C7-7F59-42AB-804E-7F2369D15D3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8949EA-39E7-450A-9DFD-C75C358383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21F528-F234-4F13-94ED-EAEABE6A4AB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6EAC027-6741-49A8-A6FB-F72E305CFF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B3D3C2D-77E4-4CFB-908A-E4039A15F1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FF5CBF8-5115-4C34-A428-035E10EBC4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60031E4-8B02-4577-9EAC-FF39D9CC9D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E91B7A-CB82-440A-81E5-F69C63EBFD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3C62F3B-8085-4E6C-A77C-F74DF08549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7D92264-6CB2-40FF-8EC7-8980DAD1DA5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E0ABFF4-B638-4E99-9C4E-91D19A7811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97106ED-8646-481A-AD8A-895E4F7BC6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BDEA9FA-31E2-4D1C-9704-15C0CD6E4C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D42B48F-516F-4C80-AEF0-E0DEE9DAF2D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9506BBB-ABD0-4AF1-9C1B-7CE39530F3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4DFFD22-E075-4758-BD95-5B5B8583ACD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0A0E841-9D16-4DB6-B48C-B932FD7E5F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E1E0B7E-536F-4F49-B810-044E3D4A3D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3CB0026-3716-41D5-8CE1-8DE63B9476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1E7E89F-BC80-4F8B-B6CD-89CAD98C3E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A58956E-01AC-49EF-9964-BE8D8EECBC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8CDE195-60EB-4182-99E8-3BE2E3D322D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7998967-0A45-4CE3-8BEE-DA98BF4877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0DB804F-B44D-4A32-86A9-476B4D5431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502F4F3-D58A-44B7-B8F8-0B04C1B8A6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7A223B8-ACC5-4A30-90E6-4D6C7C721C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9197FF6-D552-4CDC-A693-DCB8CA7A407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80D403B-0B74-4DE7-AA3D-9C8A8D34020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06E29BF-3286-4304-A968-56F1D6B013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5CA5BEF-B015-4F72-A10E-1AA3C832B5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40F3276-05D0-408C-88E6-09CE30954B5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8CD6451-BDF9-403B-92D8-A73F5B0F7B6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79C1715-1A97-4A2B-827C-4FF01A0B011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EE26368-3E90-4C93-83F9-46048CBDC63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10E95AD-F442-4AC3-B4D8-8A7707B48AC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8516F18-643B-4CDE-93C1-D27968597E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984E552-BDFC-4FA8-87CE-5B4DB058148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C970306-46AF-43BD-A65E-7CF9023A7BA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2529C05-5BF6-4E03-980A-2E42EDC51F9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23A5AA6-CCE0-4D77-9C8A-18F072CFC2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8EA3AB6-5D83-4AE4-97B3-BA71352546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C67B327-B598-488F-A03E-8DFDEC3016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ECC9CEB-3839-44BF-8349-E3D446F7B4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008D039-DB9E-481F-B607-B22C455E56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11C1E95-1291-47C2-9DE8-492E36E84F0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4F38C5D-C661-43EA-8033-0275D7955C3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EEE906E-917A-4BF0-A767-B641713E4CB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FA5F063-53B3-492A-84F4-8F0F1C26272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409FA90-438A-4422-9C47-6B5335DFD6B5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9BA7453-E11F-4E0F-BA73-BC969C0A25E3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D7442F3-8F20-48FC-80FB-E122EF6D91CF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073A9AD-88C2-489F-8BA2-56DE468E956E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4B446F9-8FC0-4513-8D2D-39F19883A063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39C6A1C-3DFF-4B60-A72D-D976E1C41F77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58E45C3-C140-4AF4-95F7-17BA44E115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AA2B873-727A-4EB2-8B92-C1793565E0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8D61B7F-7CE5-422A-A158-D74C3AB10E8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9F44497-AE6E-4AE8-AE91-4EDC0318CAF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BAF6355-6E81-4D3A-971C-11B5ADB869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A8017A4-AD23-4822-8E94-7E8EB9C1B5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3555C85-D657-4BE4-B5A3-743733239B8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B64767-1F43-4896-BA24-109A0CDE33D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72AAFE3-4CD9-4699-B0F5-B706D3E735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341A70A-2D9C-4A31-ACEE-C4BE4BB797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CE8F708-5F89-41C0-8B67-B51E38E263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F5D6A29-2B23-419D-B55E-652B67C9CBA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95FC1D4-8EE5-4547-8C05-4E086CFC37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212CBDE-695A-432C-8225-1DE6E5E96E6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1956321-1C99-4520-95E4-1EBCF24111F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1614CF2-6F7E-49D3-8336-43D32B3AF3B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155D27BA-7DCC-4B2F-B231-E0FB25F582B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DCD81EA2-E8B0-4162-B13F-6981450525F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9F9ECF2B-FE5A-46D4-A83E-5CEC90AA88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C7FCD86-1845-42A7-A03A-910425240DF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7CA0E22-AABC-42D4-99CB-5C7CB99973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B32D6D71-E8AE-43BD-AEA3-1746CCA68A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2A4AE76-BDE4-43D1-AABA-A3F0EA4C5FF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4844313-2083-4F10-8E4A-D3C58829A1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C63F24B-2FE7-4F67-99C5-3D83F0D5B7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D4D253B-C619-4B5C-9943-D506D17AC48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85D77EF-C8A5-4C70-9EDF-01258791F04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65C1C4B-5319-4A64-9E8B-E893B4531C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9A74CC3-289C-471A-A64F-831D57D6776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766E622-4731-4A86-9127-12F8CD8755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9EC78E7D-1FAD-4955-9904-384377DAFE7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BFCD190-7EAA-404C-AA4E-03F847F7E5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F6325B3-74A7-4E62-9DDB-6D206C3B33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543A28D-CDD5-4BD5-A1C7-EBD6D709F32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45360ED7-46B4-4CC1-A2D9-CAB011184A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A23B664-A2A5-46FE-92AF-A02BC4A16A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DD789FD1-9428-468C-AF21-A1156DA7C6BE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46F6C1A-64AF-4643-B234-6BF62D59D33B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56A5ACCD-270A-4F9C-BBED-BA1F31B4DDB9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BD017F05-A006-4274-AD54-3218C196F5F2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14503DD-77E5-49CD-B040-3C20B74BABFD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AED616E9-5EB0-4286-B42D-ECE51C8579C0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B396E964-5A41-411A-98E3-EA13E4F9C0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34F6AF6F-ADB1-422D-8205-B605411A0AE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206D68B2-09CB-43C6-939D-EEF0DF3B8F3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B388002F-0CD0-4638-A638-DF63CA1042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5E20CE4-C4AC-4253-BCCB-1F66A486D4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7175C61-E77A-4A4A-A516-67947341410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506B5A7-9BFF-4E64-8E17-A46203552F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966E965-B5AC-422A-8636-25A07EA9976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BFAD9A5-2F15-42BB-8981-8927B2F22D1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4BF4AAD7-BD0F-4129-A3D7-8792A9942F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30BC5D6-D888-47BE-BE8E-7F6D4ACD04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B48FBF9D-1E36-4D3F-A0D1-2A18B8F352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993BA76D-A38E-4575-96D1-6C15FA96A4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7F73354-E508-4DE9-897F-51821E6115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7FD7717-EC5C-49C4-842A-69A57DD7450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FAFFC41C-89D2-4B7A-88B0-67FA88EEE4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C52A1C3-68FC-480B-A189-4E0521039E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A7409C4-751A-4C78-9BC6-DF521EA9EB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762000</xdr:colOff>
      <xdr:row>0</xdr:row>
      <xdr:rowOff>0</xdr:rowOff>
    </xdr:from>
    <xdr:to>
      <xdr:col>9</xdr:col>
      <xdr:colOff>674221</xdr:colOff>
      <xdr:row>10</xdr:row>
      <xdr:rowOff>121226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10CE07D8-F8B3-4CE0-A449-13871456E0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5833241" y="0"/>
          <a:ext cx="2171946" cy="196053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9E3F5D-F458-481D-BD3B-4F28A98D5D9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D9DBFA-A797-44A2-88AC-F14C81CDA6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07A6BE-ED98-4A79-B13E-F140892461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C84EA1-9C4E-4E0F-B470-2B73A8E0A94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C47036-3871-4B8E-BC02-681F539DDA7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BDD66F-07A2-445B-BEA3-42527E4A09F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7E26BBD-4EBC-4B61-B706-FA95670F29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2ED2311-A9D5-47F0-B8B8-CFC713048E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1AB569-8F87-42E4-AE27-C03BB9B4E8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9B37011-99C7-4E51-9E49-8623F9FFD4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A9003FC-C0D4-4E6D-AD55-E75A95C235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AC2AE68-3376-470F-9E2B-1086BA2301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9E63774-233F-4899-AB70-7FDF6493983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F3945E4-34B2-49E6-A5C9-F453DBE8CA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793EECB-E664-445F-B83D-C967030AA6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302DDDC-81E5-4418-AD95-9FA5F6C7BA7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F62956F-3AFA-4806-B22C-A84D784BB6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40F1E5C-BC8C-47B3-B98D-404012DF88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A1033ED-CBB5-471E-93C2-BF1F21621A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42618D7-D4B8-463A-B724-92697DF71AB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EE82B46-0F46-4A09-9B9F-510792000A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666A85A-C96F-475E-AEFD-E4F5975BE2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0758DAD-A5EC-414C-B156-67E9992DA28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B9CEC8-C999-4151-B1B5-FDB2F555A6E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8FA2A43-5446-47D8-8900-89A07F68DBF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AB3622B-BF75-4E13-81E3-CF05EEF4DDD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4D77FC7-984A-4598-A4EF-909A8A9C9C8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290FBA2-64EB-4DEA-B407-88698F82D5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5F58B00-C8BD-4F2D-8428-85343686B9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8ABC0BB-A7B0-4B21-88F6-7721754D87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8DD3806-BB8F-45A6-A82F-B92CAD8112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256CC06-55D7-4914-9DDF-E12C66AE48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461A404-02B7-4B95-AB5B-FB4971E90DC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87A60E5-F2F8-4827-B01C-4367740002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AC303A7-0A8C-4183-BB4C-C583AAB565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A5DC393-5184-48E1-AEC9-042BC4B8BD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A23EAF3-E3C0-48E8-9184-798A2662AC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24DF52F-B014-4471-9A82-867D909412B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92B5998-0139-4D56-B455-B574FCED4D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1F91A25-7047-4A61-8F67-BD4310BA10C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1C54F40-8BB2-4133-A40A-1E1F152ACE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66F3A7E-20EE-4246-AA73-9F20983E14E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67CCC1B-E8B2-452E-A37E-A72A4FCC4E5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1E14A37-9C93-4535-87F6-5D86951FEC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84814A7-3E83-4F09-8B32-1316608394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3EDF7A8-866C-4DB5-90F3-A7122982AA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D361880-496D-4CA5-B15D-1F611821AB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0CED1EB-E935-4E72-B2CD-2EC0AC28BD8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D599CD3-6B49-47A3-9C34-8703F3ED3ADA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22F8C1B-4F52-469B-B920-B864E84997FC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072FC59-B48C-4D2E-98FA-B2E0124E68D1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AEF4B6B-E3EB-44F9-B6A0-24237998BCA1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D27E13F-150D-4A22-B1B2-DE551958289A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22F782D-436A-46D3-B5C8-3DA624CDB362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7C7E7BF-E726-43F7-9949-23BB48E8F8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BB0D299-7E9F-4BE9-A25E-34BC1AEB6D8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AC14BF2-F33B-4F00-B571-92C48F51FD2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85530E4-58FF-468B-A5FC-14E4FECB546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8EBF132-49CE-4345-AD09-D0A92C020F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5413EAF-10AA-43D5-8058-6F4340BE5F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8FBE01C-6017-47FE-9B97-38E540A2CCB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7AB2F26-5ADB-48EB-9EF9-2D7DB228CD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0A9E372-8ACA-4070-B7C4-DA0893FE14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6342E99-5061-4B85-926B-6198723F1D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9C45AFC-C96D-4CF5-B911-2645808BB9F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A1E2F6D-4C1E-486C-9E3D-F02152E7013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5629F5B-69ED-48FE-85C1-7D54864222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928A177-0A2F-403B-A6E0-8C494DD122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1C5BA27-5C24-495D-AF1D-90FD8E6117B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C35799C-4B1E-4D75-BE9A-3E2828B152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5A4071C-1683-48F5-927B-DA0DB67E41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F15DAD51-8D5E-42CC-BF82-2CD5D72DCDB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AD0FA77-E3DF-4C53-A276-1AE9903502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236E245-5E5E-4FEB-80A0-C52FD560EAE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C01825C3-CF97-403D-83D3-A5344CF1D1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DFB2E10-8053-47DE-AF7A-AF01F627E15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944DB48-C887-443D-B72E-824A8F10C0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C1F4252-2F7A-42E7-88B5-2332183A320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5E0D892-C005-4E79-9674-81FB3B88C2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33756E25-A0AE-4DD4-BDD7-7130519AC35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904BF20-62C5-441D-847B-D3B2756D4D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63D0D54-FDA8-4F88-9D0F-2FAC7BDD9D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F3EE134-6F8F-4C22-9CC1-043D75D3BB8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519761D-2C8A-45FB-9264-CCC1B6BE9A3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2847588F-D5BE-4E9C-AE42-80D30679D8A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9B05D3F2-D561-47EC-8999-E01D7465BA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86E1A9E-D02E-4764-A533-C5E86ED8154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CDF493A1-DBF4-49B9-84D8-9B27C8CB23C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6EF4BA4-B993-4A7E-9CED-759AA8A6FC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52D950F-5A7E-4E1A-BE0F-D5CC9B81C9F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DC8DEA87-1CD7-483B-9435-EE77A3A2244C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B535234-4432-400B-8091-B27496AA2F0C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3D2AC5E-1951-4A17-8CD6-B1ED3EED8274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BDCC8D76-8B10-4623-A760-99200F37B858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901DA232-6981-404B-A769-F2BCF1C8AC42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AA101AA-84AB-411B-ABB9-B28095F1A63C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8A77B1A-AF46-4593-BC91-17BBABB37A2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C186190-1E74-4F8D-8532-C76FF5EE16B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0AA9435-1431-4BA5-9C79-C20CBA9998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72AD96F-66BE-44F0-92EE-C6A8E3129D8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C5CF9B4B-61A8-40AB-81BF-BB5B6B79BD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B07530B-7FD3-494C-A800-F7D51EBA98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FE16083-3196-4299-98AB-6F89E32396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6FAE556-CACB-43DA-8214-21ECBD30C2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F629EB6-7E0A-4512-BC71-BFFD7DCD727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AD28264-9D98-4D53-BFD8-06B478D48C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3D68407-15BF-4C71-9988-2F82BFB255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6377ED0-8389-403F-8997-3306938249C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753E2530-A9E4-4195-92FD-DFDD274F13A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0856334-CB70-4ED5-B1AE-B5D0977123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D561B666-A23E-483C-9FAF-786690F43C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66598584-5C85-445E-973E-703C4A138E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4A3129F-719B-42E0-A0CD-99C5E09C35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374595F-0635-41E8-8CCD-40366BEDBB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815661</xdr:colOff>
      <xdr:row>0</xdr:row>
      <xdr:rowOff>0</xdr:rowOff>
    </xdr:from>
    <xdr:to>
      <xdr:col>9</xdr:col>
      <xdr:colOff>265897</xdr:colOff>
      <xdr:row>10</xdr:row>
      <xdr:rowOff>149614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4AE154FF-F0FF-4E58-ADB7-B456EFECD8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246253" y="0"/>
          <a:ext cx="2186996" cy="197412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667644-6A33-4668-A4BC-6A9787BE2E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4673F1-E8A8-4C84-BA44-0E6AB02FEAA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6E6C3B-5A22-4598-9836-9A8BBC345DF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CD3D11-A4CB-4033-B869-7CC061B216B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D595D9-870E-4EAF-9407-01C7F1DB585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EC50B88-0694-4200-AF38-E12B83ED3E7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CF5402-21B9-4E20-B1F0-9908377ABAA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886AA3F-3F76-411E-B522-CA5C947642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6691BD-0AFC-4421-BB7A-E14FA7DA57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0ACB684-D3C8-4E18-873D-C1DC81EB3FE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A563595-AFC8-4EE8-9FAA-E4DF7ECEBDF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6A845D6-2D37-4655-9467-B1BE9A892D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0125C8-31A9-460B-BF7C-176215E58B4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FEE9C9B-B800-48E5-81A4-2509D27A48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96BE25D-B836-48AD-BA64-7FD80773EB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2E37A62-CD0B-4977-A192-234E1BFE9EB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02A5C76-93F9-40FE-A047-000F0371B8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B5545CA-DF93-433E-8EA1-5CFA68D616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628F98A-E315-4C01-A700-3B744D6B18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C3D318E-7410-489A-8AA7-F75CC6A5A3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D4DD4B7-98B3-467A-AB4D-EA6A610D5E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95BB71A-E79D-4E32-834A-E830795F7AC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1DF1F8F-9120-45B7-AA67-53C309221C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A73B321-52EA-4687-ABD7-0C540B59FD8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5277617-A6AD-4502-9257-05ED3ACB84C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7732E28-1B93-4A13-BFDD-788A0282142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2CD83FF-1D92-4C03-8438-A3CB8050E60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6871652-E58A-4FB6-A557-DEBE23684B6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16ADBAA-743E-4E85-A99B-2A51DC969F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EBF861A-80FA-44DE-BEDB-5BFE2BF8CB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7BC0C5D-B907-4A3B-A1F2-99C81167C0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DFB0631-6D5F-43BA-99CD-407678B5C1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A39F30B-5725-4332-9E11-6DD647947F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C78697A-B2B8-4B09-B4CD-F0113E6537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B003242-7FF0-4D1C-825D-F69B48FDABB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C7A6A80-FAAE-42C4-A7E4-5BC81BE786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622544B-DC7B-4253-8435-FBD6CCE8A0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EE9F43B-DC5C-492B-AF9F-23D1B240B2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FF73131-B090-4A95-B3FC-FB682B90960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4A622A6-9E5D-4231-A467-7232B2F28D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9153418-B602-467A-BD60-847B0EC8DAD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8F29871-9463-40D9-9C9D-733D4FE5B4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33ED969-3E1D-4E39-8A4A-AE359D7A0D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05BCFC8-275C-4515-AC7B-33B7E54CDE0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01C271A-E81E-49AA-BD9B-699FF1C64FF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4F79DE2-132A-4EC3-BFDC-FAED8478576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388F78E-0D82-4E5F-89D2-21FCC85D95F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099B0F4-E47A-48B4-91BF-4DB3A471020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14E7885-5D93-4C30-8C6B-7C52E945B3D0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E6F39A6-D48C-4278-9F0B-F26A44A08884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9C4CA9A-F093-4EFC-BB43-2A5BD5379EED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06D0443-E6D3-4C8B-885A-0364AB05D2D5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E2A8298-3B59-43E1-A035-5DFBC84DB644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A816970-46DE-4E18-B217-61763323987B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5D3870A-811C-4F3E-A51D-BCBC14F25B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5779529-AD18-433F-B2CC-7DCFD615A55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0E5E593-C0B0-47BF-A618-8A3750BFB35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5ADD28D-F634-4894-8E51-59953E9F717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70FD433-71C1-4182-A6D2-EEA781DAE7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24EE3F8-26D9-44AC-B2F9-FAA57FB8D0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79B647D-4362-4923-876B-A8F51299589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FF94A2E-FC84-4D6E-B032-ECF4C9D8E2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FDD304F-53FD-4DB9-9186-EF260AC44E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50EF42E-4AF1-482A-BAAD-5FEA339A910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5BC72B3-7DA8-440D-95BF-8515C50D42A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B64B353-C49B-468D-AB86-FFFB213071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98AB13A-360A-4389-A871-3D58AC3D2E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F270ACA-9345-47E3-BC1B-E7F06B6085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4564203-69FE-4CF5-B822-9CA7F0E1F2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3C9A094C-9B0D-4530-9EF0-D91002847D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AB62E4BA-7885-4F3E-A793-B5EDD1F3BC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CFA6084-8BAB-4384-9A3D-A13D2B97D9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ABF1ED9-68B5-4967-9B89-D96BD4C58A9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3AA851A-90A2-47FF-8323-F10D8DA9B43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5237A78-A40B-4A0D-BEAF-A0C307081F1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C4AD717-C1A2-44E5-A525-C6257C5C53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D855A4B-EA16-4F7F-8C6A-D1A5FF202DE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10B3942-AB7B-42B1-9FD1-547D5A11950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D422216-040B-491C-A6C9-DA16460967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540EE75-6128-4888-9E2A-54ACEC9FE71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BB3E077-4C73-460E-B2FF-C960CBD2808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1D7D85D5-CF36-459B-A747-2EA03C21EC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9947675-9E5B-4FAD-9653-258A0EC6E4D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3BE6903-AB91-4CC1-A2AD-806E0841EB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8F2F482-6C31-4709-AD94-86B96628BD6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1EC3821-950E-4913-94C2-94DD560578B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3A7A086E-86F5-4DDC-A13D-2E45ECFED6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E3B314F1-1738-4A92-A84A-38802433195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C228248-23BA-4EF1-B681-17FDEB7D65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58302680-8B40-4569-9F81-71E3DBF0F51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72C5696-9D9D-4AB0-AA05-8F5B523C4153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43153E37-C296-4F62-98F7-BE84E5C8447B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14E703C-E049-431D-AB29-D7D68C174808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8EB0F1CB-0404-4B28-BF01-8021E1F957D0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D1B9AF75-7276-418D-B9F8-7480143D4E61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15FDACC-92A8-4958-9E3B-1BC8753BFD28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1053796-FF5C-4C61-A51D-F93EFB8BB3F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0A6E983-42B2-41DC-AB8A-22FEAED3EFE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AED52FD-FB20-4ACB-B06C-77975E24F9E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AF889CB-075C-4F96-A532-2201F4630B5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170BC1A-ABCC-40DF-9D26-3663FED5DFB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278EB62-A735-4731-A001-F5BEDB7CFFF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719C5B5-AEF7-4F62-BD30-ADC8F1BA289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01AF082-54DB-4E21-8C2D-752487E9C00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0B77F7D-B3D7-4D1D-BE39-5A8D67629C2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1414044-4D07-4C58-8466-9CE238F9358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91C7EA5-4B96-4AC1-98C5-B8CBE895112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997C9068-3B0D-44F0-8CA2-76106481F4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36B2230-1C82-4250-A8AF-FFCC1912CE2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BE89772-5F7F-44EF-8F36-6D835F78AFC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6E684E1-4DDB-4DBC-95E0-B554AA1B38D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8C0892C6-B427-46EF-8996-CB539CD5EA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68B223C-73C8-4B0E-9913-AADE808A86E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523DB233-4ECB-4417-B4C9-21AABB2BBB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1158240</xdr:colOff>
      <xdr:row>0</xdr:row>
      <xdr:rowOff>0</xdr:rowOff>
    </xdr:from>
    <xdr:to>
      <xdr:col>8</xdr:col>
      <xdr:colOff>722131</xdr:colOff>
      <xdr:row>10</xdr:row>
      <xdr:rowOff>102404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765162BF-5F58-43A3-8F7D-D70406AC0D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842760" y="0"/>
          <a:ext cx="2139451" cy="193120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5A9C69-91C7-430C-9B2B-E2298F576C9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2AE809-DA01-4071-B886-0D82088248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2797829-0350-4FC6-B3AE-08C25AB9ABA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8ABCEB1-F3F8-423B-A914-B7079AC1D79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9FBCDF-DB08-4D68-AFF8-AAE017F9AB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FE2213E-17C0-4FC0-B0F4-72C7DDAA20A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939302A-98E3-41C6-A9D3-467A9591464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4E08DB4-9146-4C2C-A511-ACA2525AF17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42CA242-D4B9-4259-BF5C-880D083550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F22EB23-EDA3-4D80-A229-59EF7908A9E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BCFA02C-2237-4570-9FFB-BAB0B18E67E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2F925ED-7C62-4CDA-9489-5ACFD00945F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C00F698-E7E2-4B94-AA84-1EE5D9F5463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B11F035-BED1-421B-9A9F-D6F2ECD810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2988BA1-4057-44F2-85EA-D57A54AE85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593DF77-C9AE-453E-B312-DEE38DDEA7C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5F52694-D222-44FD-B06D-1FC19D7E3B4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FE00014-D5A2-47D2-AC02-D9283DCC09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173C32B-C1EC-491C-BABF-E78A399757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31860E3-E6F5-4CD8-8B05-96A750889D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B95FC6A-D358-42F9-9B81-39A8215D05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58D905F-E929-410B-8CC5-ECBD1CE031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7CCF21C-D86F-415A-A5E9-082163F580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BEE7CD7-834D-4AA5-AA79-47BD04F51A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E803E80-5DFA-4E1E-9535-7E44601DEF8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303EDE5-DAD5-47FA-8144-626EBCFF4F6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8334936-9F11-4459-A94E-FC208EA9B4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4518ABE-767C-4444-A9C7-771DE6CF34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0FC08F8-3612-44DA-8FCA-B61EA253A6D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68313C7-D50E-4085-B51B-D5F6432E54A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5B661C5-E346-4B22-9CE9-F93F8FAFA34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06567C-4CB6-4D52-9832-ADE550EB82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C8D6BB2-41F7-473D-842C-23C7817A6B4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7DD184C-DCB7-4D23-A5D5-DC5976E044F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D47FAF4-2910-4A0D-9970-105D3C671B5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2206A64-786C-48FA-B265-9B738224126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FF2CC93-D36C-4739-89BE-DA654DF709A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5332CDB-27EC-4DB9-B0D4-47D10E48E5F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25EE1E6-4ABE-4252-811C-15FB63E2D46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E45E285-3A98-402F-88F1-70572B7B5DE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1D2B769-1111-4287-A345-A08314B4B4C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3841BBA-D286-463F-A64A-2470319684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D7B67A1-90EF-426A-A81C-D5B318836F9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29DF7A5-7EBD-4D0E-AEDD-CFCC02A3858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3C53445-3D17-4BB3-9748-2DCD66E9F0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D948287-40F7-45EA-9DEB-471F00F9288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C257788-AA9A-4C75-A322-301EC7A8A63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3CEE2A2-8BCF-4A94-AC3D-23CB9B1A1B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B4F0225-2024-4EF1-B3D2-866F6054FBE2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72B0B92-FF49-4B8A-869E-D4B751A19C70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DA7334B-ADC3-4DC7-BD90-599C7342933D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46AF95E-7D21-402D-93B2-EDE84A9EF444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963C92F-777A-4E1E-9FB8-D463CFA6C649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76D6D1E-F7DA-4B3C-ADFF-9635F9E80AC1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31B3003-F0B4-47C6-8690-3D337B00351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7CD1E76-2BFF-400F-9786-E3197BCD807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1E8E2EB-8085-4E19-8372-B4E41612000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1040D97-DE6A-4D8F-A193-70264D2347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36B4498-F585-4024-AAFC-F2FECC0B864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E966397-5C22-43E4-851B-84E4F046EF9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F72DEB4-8DE1-4896-86DB-02D41F9A434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730CE2B-ECDE-4606-9E41-9BDD80D5B7C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CD6C437-1284-4AB8-A58E-A494339B7B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6021C0D-1594-474B-949D-860711D9F07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6638655-C0CA-4F1B-9412-A3FD85F572F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461441E-72E7-48DD-88F4-AFEF9DD856A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5EA6B57-DF51-4528-A0D4-C1C6EB895D1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6468FA85-F28E-4C12-B84B-99DCF13899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E2739B7-C178-485D-9257-5D8224E427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E66A263B-C941-4F15-A2D1-867B018DD40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CFE0A9F-BD8A-4502-9492-F2F9B93B457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1ABB79D-811D-464C-90F7-7C890C53961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3D36EE2-9532-49C4-B51D-7120894AE46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B73A22D-4178-4F7D-A18D-C85344028ED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2A69C0FC-7E5E-4532-AB7A-A2B9CBE5F5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8C3E70F-A467-45DB-B0AB-84F767F6625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B49833E-2BEE-4977-8BC5-EFF08BB0ECF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24BD97F-1469-4C34-9947-8621B0F6E4C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B06511B8-11B8-423A-A1BA-78EE228B67B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8C61505-C4C7-4829-8FD2-D0FD4B96175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9E1F8C8-07D5-44EA-A432-B983AB786F9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CE7A229-46B8-4809-9493-6E5B08E90A7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0F0E7F6-92F7-4EA2-83F2-E157661FAA3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2AFFCEF-BC92-4A44-B03B-FECEBA6BC98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5A12DECC-4336-4CBC-BF16-A85CEA4251E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7A25364-394D-4D96-A449-C6EA2A63411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E92BB3B-132B-4211-9F3A-EA0E0640773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F50F9C3-D0BA-4572-BACF-878C84698B4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644E4C8-FFDD-40FE-AEC5-9A0452250A0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1D40EDC7-EF74-4F76-8E4A-F5FD26F9295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5B97CB9-A858-4EB2-8280-E3D1F96E65A6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5A0A6FE-C65D-41AB-AAAD-D391DDD24EDD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3201B3FF-8031-48A0-8179-0C3A45EE3E48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3F42834-AF2B-4055-AFF0-1AEBA1E641AD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12B9E27-6FF9-4AB0-8B8E-801F8388F62E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B2E8D34-6EBA-42FE-AEBC-1DE714A031C8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D93F9530-8CEF-4581-96A8-10C22CA15A9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D0039DB6-DFD5-4447-8A71-83094D6A10C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6E47CA8-6762-472F-9E8E-83ECEFCCA87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2A36349C-4AE5-4709-90D5-9BAFC273333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FA71812D-663E-4FFD-98AE-04A977C46E2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93BCE0F-FD59-4643-A161-84524E94DCF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1960DD3-4CD1-40B4-9DF5-BE6E1D8439D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78080A6-DA45-49DF-B1AF-1DD42123CDD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BCB3CBC-03A7-43CD-B908-BAA08FEF537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964C074-D9AD-49F3-976B-DC75C687F6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15511F55-B974-4A44-A6BE-BBE1C6588DF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5BE19C01-E3CB-4E29-AB3B-065A7AEC092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98AE5824-FFB6-4985-BA19-A79E7EFE96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334F19E5-A78E-4086-9002-AB30E173F16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885B6AFA-C3B2-4A6F-81C6-9022B57DF9D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981192B-6864-41DE-8FB9-09AD65EFA7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D111367-CEAD-4C0E-A79C-7DB25A53BDE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7D54111-69BE-41C4-A216-E6AE962511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716280</xdr:colOff>
      <xdr:row>0</xdr:row>
      <xdr:rowOff>0</xdr:rowOff>
    </xdr:from>
    <xdr:to>
      <xdr:col>9</xdr:col>
      <xdr:colOff>205796</xdr:colOff>
      <xdr:row>10</xdr:row>
      <xdr:rowOff>145321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2BA3B93B-36D7-4F8C-B3C0-FAD93E9867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5585460" y="0"/>
          <a:ext cx="2186996" cy="197412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BBE1C6-6862-4924-A13A-8EFE283D41C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DEC697-52A5-40E9-BCF4-18E0B73DF5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908228-0DE1-4A2C-97F8-515D93EEAE7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672285-4D84-4C02-9093-4E3E051183A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2BE4A3-FF04-40B5-BDDB-4EAF975EE15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7AE706-9B07-4E78-A90E-AAD38F3652E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B6237B5-A3CC-4F12-8491-091B5B3E584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4713CBB-9E9C-4950-9033-7319081509F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DD702B2-E8E0-47B3-954C-554160C3A10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69AF8B3-C8BA-419A-A0C8-E26468AF578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36FF93-1CC3-4F5A-8BD5-C6012C79206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F8B6688-1715-4768-972E-B46BD2672E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A0F00FC-1568-4167-BFE2-2FE112C338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F8E7510-E1AD-4D86-8FFC-D64DEC39FD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D8E17E3-47EA-4F88-97CE-EB73F1CB74B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CF9589D-C23B-458E-8D9F-64BF62AD6C7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30E11E0-9EC3-4BC3-B57E-34C9AE47E9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31158E4-FFC0-453B-90F1-C36F5A0CCDD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5A7C4F1-9F66-4559-851E-0314865801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7D6C6A8-AAFA-494E-828A-37F290FBB33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469402A-293C-4385-BAD3-27728AE6E1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A2EB00C-2892-4AD2-A1AE-1695AB3EAD2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CDCE961-F1D0-4B85-BFE9-1AE871F8331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CC2DD58-6B6F-4047-925D-0F4E181C31D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B465BF8-61E4-4B99-A5CB-C891A9FC79C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B38BB46-CD3C-4950-9188-311E495AC5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72EBDAF-8318-4474-989E-AD0354C8224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A3C69EB-CD12-4495-929E-F432E264A4D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C3BF89C-C6BA-4BAC-ABB2-9CB2627420B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B8DB4E5-2024-4FD6-ABB5-57B72D0234C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1A3E182-9F71-4D67-90C2-E2299BC0DB1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EC5C9FF-7D39-4126-8C7F-2AEA35CB658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78174D2-6D77-410B-9417-69EAD04FA1D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8ECE79D-13A1-4084-9A1F-31CB840163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CC9E45D-999B-4F1B-9E70-35091958F47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54C06E9-EC66-4BD1-A4F9-001DD37F0B8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BAB4792-A674-467C-AF1B-718E28EEAEA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1899F13-3541-452F-906C-C6762115B16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2D4C9F4-11C3-4BED-9CA1-4A6A5E0F95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DB673D-1AA2-475A-8AB9-5C19299CAB1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3A9BEAC-D115-490B-B604-F00997737FF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B87E828-FD9A-40CB-8692-252387906A8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4AC0592-69E2-4D08-AC4C-1028D7E5AD2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B89D5E4-2218-4D50-A890-F37D3970E17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6BF5C13-1EA5-4AC5-A38B-D03C9EB2B26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455ADA1-D541-4C0A-8A16-A4AA5B53748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F6A56B5-D1FF-4373-9E91-4B036125D83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B7D8462-669F-4913-89C7-9174E8F59E3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FA8D062-C06E-48D1-B965-B97932ECFA38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DCCBD4E-DC14-42A4-AD22-5ACA1CD22787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7803D2A-DDB2-488B-9216-C50953425D27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A1D74BA-BCDD-460D-A097-989CE11008B1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A99AF80-4CD8-43D0-A2D4-018CE516772A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6E033E0-7BB2-4929-877B-CFFC9A002EA5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98AD876-0C0A-4119-AC11-D37F13EA150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3D2F3A2-B9B4-4E40-AF73-1A2BC8B94AE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896CA6A-CE13-41A4-A4FD-DDE688D6862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6D3E0BD-F55D-4E39-8322-8D8889E7ACF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BAE2F6D-7417-4304-98AD-7735275601F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162AA00-8F1B-48E3-AE22-5885B8FDC0E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2F4FA89-5C28-44B6-81CA-11801BFEB6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5155009-5DB6-468E-B285-EB9EC4E00B5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A682EB4-A331-4A3B-8A9C-0803E72EFDE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A7D125E-CA74-4684-A8B4-49A3FA668CE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3362B05-BE58-4612-82E7-0386BD5583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A455420-892C-4050-B31D-277AEDC75DD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B818985-DCFC-4E13-B881-E59C7C964C2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D0C9D48-9DCB-498F-A4D7-8B49AA1A2CB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9D0A4D2-E391-4494-B618-DF262EB4C67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6724ED2-223F-491D-AA45-1287B420A93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C38D5FD-E6A3-4DAA-AFDF-777E450BA85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E491094F-2AF2-4468-A361-069BAC4EE01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93B5649-D7B7-411E-B5BA-EA2A6896DEE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1D3FC55-7F8D-4422-9B84-88A105DF566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A7503D5-2FBB-47F1-AEA4-0438902011A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9746ACF0-B381-4E80-A454-1FB53D8A261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48EEF6E-4444-4A3C-8FE9-3E7DFDF6291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D74E40C-48AA-46CB-961A-D6757E37A5D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B101E18-6B2B-4EF8-A8EF-DBAC76132D3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3462376A-9D81-4CC9-937A-468DF236DC18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5C00E7F-FCDB-41B2-88C5-764E1A587ED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D87614D-37F4-4BB2-91FE-D0A3005E642D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532CE13D-BE8A-4D6F-8977-9B18C47938C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2512D3F-5890-4658-87DA-2EC405FB24C1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2A88B7E4-60A6-4DEB-93DF-958ED4CA00A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27BE390-FD26-431F-9DEC-7EAACC170397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348110C8-B6BC-4C9D-9493-B6D18AA4CF2E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9C7859C-C092-436A-AF06-69C972CE3719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10AD624-DEA4-4881-8363-43BAE5FCF152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14F14683-0F4D-4A89-A6B6-AAD12567537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D52E3C8-01F8-4C6F-B0E7-33D677275D80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53F581ED-F5CF-4DD3-B100-85F1F7A93EE9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880E82A-B560-4799-BD97-AA2682542CD3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4816CBAD-DBD2-48C1-A4B8-840E9F826F10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A3E3C53-98B2-4B80-9837-BAB9A36FE039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571500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12DD4B5-1E6F-4854-871B-7C1CD057F0BD}"/>
            </a:ext>
          </a:extLst>
        </xdr:cNvPr>
        <xdr:cNvSpPr txBox="1"/>
      </xdr:nvSpPr>
      <xdr:spPr>
        <a:xfrm>
          <a:off x="1889760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8D37674-FFD0-48CE-BC7A-6DAC845F167F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134223C-48BA-472F-9FCC-15599745D5B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AAC7E0B-71E6-4F80-A43D-8CFE0E26500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E7F3C70B-05EF-4D92-ADA2-B5A7015BEB8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34E57969-422C-4E51-9805-E218987032B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5AE13D2-3C5A-4E12-9AAD-04235F7C0473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36E6AC7B-250C-4A6A-A02E-0ECE6194756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EC23D5-6219-4BDC-BF57-9E0A9C01913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64758BB-B04F-4A42-92F1-4E573A6DE8DB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A3C0395-E194-4E6E-B38D-D8610C4BE144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96C1C67-62B7-4100-8C37-7D29609C6D7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3481FCC4-269E-4C69-A7DE-CC001A0DF42C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AC8B0AF-95EA-4DE7-9630-8AB1B40EE3A5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A303C2A-2A79-4195-BE74-C67E0348919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4E30F13-2397-473B-A35C-6B48E13952FA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5D55129-0728-4BAC-B78C-C2243496BE9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72B48B78-9FC1-42E3-A420-DEEBFD50F146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571500</xdr:colOff>
      <xdr:row>0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5F92B186-0E04-4823-B130-5E94CC1F9AD0}"/>
            </a:ext>
          </a:extLst>
        </xdr:cNvPr>
        <xdr:cNvSpPr txBox="1"/>
      </xdr:nvSpPr>
      <xdr:spPr>
        <a:xfrm>
          <a:off x="28765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6</xdr:col>
      <xdr:colOff>723900</xdr:colOff>
      <xdr:row>0</xdr:row>
      <xdr:rowOff>0</xdr:rowOff>
    </xdr:from>
    <xdr:to>
      <xdr:col>9</xdr:col>
      <xdr:colOff>320096</xdr:colOff>
      <xdr:row>10</xdr:row>
      <xdr:rowOff>145321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A8695FF6-5B08-469F-A772-8BFA9F84CA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6202680" y="0"/>
          <a:ext cx="2186996" cy="1974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0"/>
  <sheetViews>
    <sheetView zoomScale="79" workbookViewId="0">
      <selection activeCell="H19" sqref="H19"/>
    </sheetView>
  </sheetViews>
  <sheetFormatPr defaultColWidth="8.77734375" defaultRowHeight="14.4" x14ac:dyDescent="0.3"/>
  <cols>
    <col min="3" max="3" width="16.33203125" bestFit="1" customWidth="1"/>
    <col min="4" max="4" width="17.33203125" customWidth="1"/>
    <col min="5" max="5" width="11.6640625" bestFit="1" customWidth="1"/>
    <col min="6" max="6" width="14.44140625" customWidth="1"/>
    <col min="7" max="7" width="14.6640625" customWidth="1"/>
    <col min="8" max="8" width="13.109375" customWidth="1"/>
    <col min="9" max="9" width="6.33203125" customWidth="1"/>
    <col min="10" max="10" width="12.44140625" customWidth="1"/>
    <col min="11" max="11" width="14" customWidth="1"/>
    <col min="12" max="12" width="14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7"/>
    </row>
    <row r="2" spans="2:17" x14ac:dyDescent="0.3">
      <c r="B2" s="78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80"/>
    </row>
    <row r="3" spans="2:17" x14ac:dyDescent="0.3">
      <c r="B3" s="78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80"/>
    </row>
    <row r="4" spans="2:17" x14ac:dyDescent="0.3">
      <c r="B4" s="78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80"/>
    </row>
    <row r="5" spans="2:17" x14ac:dyDescent="0.3">
      <c r="B5" s="78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</row>
    <row r="6" spans="2:17" x14ac:dyDescent="0.3"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80"/>
    </row>
    <row r="7" spans="2:17" x14ac:dyDescent="0.3">
      <c r="B7" s="78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80"/>
    </row>
    <row r="8" spans="2:17" x14ac:dyDescent="0.3">
      <c r="B8" s="78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</row>
    <row r="9" spans="2:17" x14ac:dyDescent="0.3">
      <c r="B9" s="78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80"/>
    </row>
    <row r="10" spans="2:17" x14ac:dyDescent="0.3"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80"/>
    </row>
    <row r="11" spans="2:17" ht="15" thickBot="1" x14ac:dyDescent="0.35">
      <c r="B11" s="81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3"/>
    </row>
    <row r="12" spans="2:17" ht="25.2" x14ac:dyDescent="0.3">
      <c r="B12" s="84" t="s">
        <v>0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6"/>
      <c r="N12" s="86"/>
      <c r="O12" s="86"/>
      <c r="P12" s="86"/>
      <c r="Q12" s="87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27</v>
      </c>
      <c r="E14" s="3">
        <v>91.1</v>
      </c>
      <c r="F14" s="3" t="s">
        <v>22</v>
      </c>
      <c r="G14" s="3" t="s">
        <v>14</v>
      </c>
      <c r="H14" s="3" t="s">
        <v>15</v>
      </c>
      <c r="I14" s="3" t="s">
        <v>15</v>
      </c>
      <c r="J14" s="4">
        <v>15</v>
      </c>
      <c r="K14" s="4">
        <v>10</v>
      </c>
      <c r="L14" s="4">
        <v>30</v>
      </c>
      <c r="M14" s="5">
        <f>J14*K14*L14</f>
        <v>4500</v>
      </c>
      <c r="N14" s="6">
        <v>8</v>
      </c>
      <c r="O14" s="7">
        <f t="shared" ref="O14:O22" si="0">N14*M14</f>
        <v>36000</v>
      </c>
      <c r="P14" s="7">
        <f t="shared" ref="P14:P22" si="1">O14*18%</f>
        <v>6480</v>
      </c>
      <c r="Q14" s="8">
        <f t="shared" ref="Q14:Q22" si="2">O14+P14</f>
        <v>42480</v>
      </c>
    </row>
    <row r="15" spans="2:17" x14ac:dyDescent="0.3">
      <c r="B15" s="1">
        <v>2</v>
      </c>
      <c r="C15" s="2" t="s">
        <v>13</v>
      </c>
      <c r="D15" s="3" t="s">
        <v>38</v>
      </c>
      <c r="E15" s="3">
        <v>92.7</v>
      </c>
      <c r="F15" s="3" t="s">
        <v>22</v>
      </c>
      <c r="G15" s="3" t="s">
        <v>14</v>
      </c>
      <c r="H15" s="9" t="s">
        <v>15</v>
      </c>
      <c r="I15" s="9" t="s">
        <v>15</v>
      </c>
      <c r="J15" s="4">
        <v>15</v>
      </c>
      <c r="K15" s="4">
        <v>10</v>
      </c>
      <c r="L15" s="4">
        <v>30</v>
      </c>
      <c r="M15" s="5">
        <f t="shared" ref="M15:M22" si="3">J15*K15*L15</f>
        <v>4500</v>
      </c>
      <c r="N15" s="6">
        <v>7</v>
      </c>
      <c r="O15" s="7">
        <f t="shared" si="0"/>
        <v>31500</v>
      </c>
      <c r="P15" s="7">
        <f t="shared" si="1"/>
        <v>5670</v>
      </c>
      <c r="Q15" s="8">
        <f t="shared" si="2"/>
        <v>37170</v>
      </c>
    </row>
    <row r="16" spans="2:17" x14ac:dyDescent="0.3">
      <c r="B16" s="1">
        <v>3</v>
      </c>
      <c r="C16" s="2" t="s">
        <v>13</v>
      </c>
      <c r="D16" s="3" t="s">
        <v>40</v>
      </c>
      <c r="E16" s="3">
        <v>104</v>
      </c>
      <c r="F16" s="3" t="s">
        <v>22</v>
      </c>
      <c r="G16" s="3" t="s">
        <v>14</v>
      </c>
      <c r="H16" s="3" t="s">
        <v>15</v>
      </c>
      <c r="I16" s="3" t="s">
        <v>15</v>
      </c>
      <c r="J16" s="4">
        <v>15</v>
      </c>
      <c r="K16" s="4">
        <v>10</v>
      </c>
      <c r="L16" s="4">
        <v>30</v>
      </c>
      <c r="M16" s="5">
        <f t="shared" si="3"/>
        <v>4500</v>
      </c>
      <c r="N16" s="6">
        <v>8</v>
      </c>
      <c r="O16" s="7">
        <f t="shared" si="0"/>
        <v>36000</v>
      </c>
      <c r="P16" s="7">
        <f t="shared" si="1"/>
        <v>6480</v>
      </c>
      <c r="Q16" s="8">
        <f t="shared" si="2"/>
        <v>42480</v>
      </c>
    </row>
    <row r="17" spans="2:17" x14ac:dyDescent="0.3">
      <c r="B17" s="1">
        <v>4</v>
      </c>
      <c r="C17" s="2" t="s">
        <v>13</v>
      </c>
      <c r="D17" s="3" t="s">
        <v>27</v>
      </c>
      <c r="E17" s="3">
        <v>91.1</v>
      </c>
      <c r="F17" s="3" t="s">
        <v>23</v>
      </c>
      <c r="G17" s="3" t="s">
        <v>14</v>
      </c>
      <c r="H17" s="9" t="s">
        <v>15</v>
      </c>
      <c r="I17" s="9" t="s">
        <v>15</v>
      </c>
      <c r="J17" s="4">
        <v>15</v>
      </c>
      <c r="K17" s="4">
        <v>10</v>
      </c>
      <c r="L17" s="4">
        <v>30</v>
      </c>
      <c r="M17" s="5">
        <f t="shared" si="3"/>
        <v>4500</v>
      </c>
      <c r="N17" s="6">
        <v>7</v>
      </c>
      <c r="O17" s="7">
        <f t="shared" si="0"/>
        <v>31500</v>
      </c>
      <c r="P17" s="7">
        <f t="shared" si="1"/>
        <v>5670</v>
      </c>
      <c r="Q17" s="8">
        <f t="shared" si="2"/>
        <v>37170</v>
      </c>
    </row>
    <row r="18" spans="2:17" x14ac:dyDescent="0.3">
      <c r="B18" s="1">
        <v>5</v>
      </c>
      <c r="C18" s="2" t="s">
        <v>13</v>
      </c>
      <c r="D18" s="3" t="s">
        <v>39</v>
      </c>
      <c r="E18" s="3">
        <v>91.9</v>
      </c>
      <c r="F18" s="3" t="s">
        <v>23</v>
      </c>
      <c r="G18" s="3" t="s">
        <v>14</v>
      </c>
      <c r="H18" s="9" t="s">
        <v>15</v>
      </c>
      <c r="I18" s="9" t="s">
        <v>15</v>
      </c>
      <c r="J18" s="4">
        <v>15</v>
      </c>
      <c r="K18" s="4">
        <v>10</v>
      </c>
      <c r="L18" s="4">
        <v>30</v>
      </c>
      <c r="M18" s="5">
        <f t="shared" si="3"/>
        <v>4500</v>
      </c>
      <c r="N18" s="6">
        <v>15</v>
      </c>
      <c r="O18" s="7">
        <f t="shared" si="0"/>
        <v>67500</v>
      </c>
      <c r="P18" s="7">
        <f t="shared" si="1"/>
        <v>12150</v>
      </c>
      <c r="Q18" s="8">
        <f t="shared" si="2"/>
        <v>79650</v>
      </c>
    </row>
    <row r="19" spans="2:17" x14ac:dyDescent="0.3">
      <c r="B19" s="1">
        <v>6</v>
      </c>
      <c r="C19" s="2" t="s">
        <v>13</v>
      </c>
      <c r="D19" s="3" t="s">
        <v>40</v>
      </c>
      <c r="E19" s="3">
        <v>94.3</v>
      </c>
      <c r="F19" s="3" t="s">
        <v>23</v>
      </c>
      <c r="G19" s="3" t="s">
        <v>14</v>
      </c>
      <c r="H19" s="9" t="s">
        <v>15</v>
      </c>
      <c r="I19" s="9" t="s">
        <v>15</v>
      </c>
      <c r="J19" s="4">
        <v>15</v>
      </c>
      <c r="K19" s="4">
        <v>10</v>
      </c>
      <c r="L19" s="4">
        <v>30</v>
      </c>
      <c r="M19" s="5">
        <f t="shared" si="3"/>
        <v>4500</v>
      </c>
      <c r="N19" s="6">
        <v>7</v>
      </c>
      <c r="O19" s="7">
        <f t="shared" si="0"/>
        <v>31500</v>
      </c>
      <c r="P19" s="7">
        <f t="shared" si="1"/>
        <v>5670</v>
      </c>
      <c r="Q19" s="8">
        <f t="shared" si="2"/>
        <v>37170</v>
      </c>
    </row>
    <row r="20" spans="2:17" x14ac:dyDescent="0.3">
      <c r="B20" s="1">
        <v>7</v>
      </c>
      <c r="C20" s="2" t="s">
        <v>13</v>
      </c>
      <c r="D20" s="3" t="s">
        <v>41</v>
      </c>
      <c r="E20" s="12">
        <v>95</v>
      </c>
      <c r="F20" s="3" t="s">
        <v>23</v>
      </c>
      <c r="G20" s="3" t="s">
        <v>14</v>
      </c>
      <c r="H20" s="9" t="s">
        <v>15</v>
      </c>
      <c r="I20" s="9" t="s">
        <v>15</v>
      </c>
      <c r="J20" s="4">
        <v>15</v>
      </c>
      <c r="K20" s="4">
        <v>10</v>
      </c>
      <c r="L20" s="4">
        <v>30</v>
      </c>
      <c r="M20" s="5">
        <f t="shared" si="3"/>
        <v>4500</v>
      </c>
      <c r="N20" s="10">
        <v>8</v>
      </c>
      <c r="O20" s="7">
        <f t="shared" si="0"/>
        <v>36000</v>
      </c>
      <c r="P20" s="7">
        <f t="shared" si="1"/>
        <v>6480</v>
      </c>
      <c r="Q20" s="8">
        <f t="shared" si="2"/>
        <v>42480</v>
      </c>
    </row>
    <row r="21" spans="2:17" x14ac:dyDescent="0.3">
      <c r="B21" s="1">
        <v>8</v>
      </c>
      <c r="C21" s="2" t="s">
        <v>13</v>
      </c>
      <c r="D21" s="3" t="s">
        <v>41</v>
      </c>
      <c r="E21" s="3">
        <v>92.1</v>
      </c>
      <c r="F21" s="3" t="s">
        <v>24</v>
      </c>
      <c r="G21" s="3" t="s">
        <v>14</v>
      </c>
      <c r="H21" s="9" t="s">
        <v>15</v>
      </c>
      <c r="I21" s="9" t="s">
        <v>15</v>
      </c>
      <c r="J21" s="4">
        <v>15</v>
      </c>
      <c r="K21" s="4">
        <v>10</v>
      </c>
      <c r="L21" s="4">
        <v>30</v>
      </c>
      <c r="M21" s="5">
        <f t="shared" si="3"/>
        <v>4500</v>
      </c>
      <c r="N21" s="10">
        <v>8</v>
      </c>
      <c r="O21" s="7">
        <f t="shared" si="0"/>
        <v>36000</v>
      </c>
      <c r="P21" s="7">
        <f t="shared" si="1"/>
        <v>6480</v>
      </c>
      <c r="Q21" s="8">
        <f t="shared" si="2"/>
        <v>42480</v>
      </c>
    </row>
    <row r="22" spans="2:17" x14ac:dyDescent="0.3">
      <c r="B22" s="1">
        <v>9</v>
      </c>
      <c r="C22" s="2" t="s">
        <v>13</v>
      </c>
      <c r="D22" s="3" t="s">
        <v>38</v>
      </c>
      <c r="E22" s="3">
        <v>92.7</v>
      </c>
      <c r="F22" s="3" t="s">
        <v>25</v>
      </c>
      <c r="G22" s="3" t="s">
        <v>14</v>
      </c>
      <c r="H22" s="9" t="s">
        <v>261</v>
      </c>
      <c r="I22" s="9">
        <v>3</v>
      </c>
      <c r="J22" s="4">
        <v>15</v>
      </c>
      <c r="K22" s="4">
        <v>10</v>
      </c>
      <c r="L22" s="4">
        <v>30</v>
      </c>
      <c r="M22" s="5">
        <f t="shared" si="3"/>
        <v>4500</v>
      </c>
      <c r="N22" s="10">
        <v>8</v>
      </c>
      <c r="O22" s="7">
        <f t="shared" si="0"/>
        <v>36000</v>
      </c>
      <c r="P22" s="7">
        <f t="shared" si="1"/>
        <v>6480</v>
      </c>
      <c r="Q22" s="8">
        <f t="shared" si="2"/>
        <v>42480</v>
      </c>
    </row>
    <row r="23" spans="2:17" x14ac:dyDescent="0.3">
      <c r="B23" s="1">
        <v>10</v>
      </c>
      <c r="C23" s="2" t="s">
        <v>13</v>
      </c>
      <c r="D23" s="3" t="s">
        <v>42</v>
      </c>
      <c r="E23" s="3">
        <v>93.5</v>
      </c>
      <c r="F23" s="3" t="s">
        <v>25</v>
      </c>
      <c r="G23" s="3" t="s">
        <v>14</v>
      </c>
      <c r="H23" s="9" t="s">
        <v>128</v>
      </c>
      <c r="I23" s="9">
        <v>2</v>
      </c>
      <c r="J23" s="4">
        <v>15</v>
      </c>
      <c r="K23" s="4">
        <v>10</v>
      </c>
      <c r="L23" s="4">
        <v>30</v>
      </c>
      <c r="M23" s="5">
        <v>4500</v>
      </c>
      <c r="N23" s="10">
        <v>9</v>
      </c>
      <c r="O23" s="7">
        <v>63000</v>
      </c>
      <c r="P23" s="7">
        <v>11340</v>
      </c>
      <c r="Q23" s="8">
        <v>74340</v>
      </c>
    </row>
    <row r="24" spans="2:17" x14ac:dyDescent="0.3">
      <c r="B24" s="1">
        <v>11</v>
      </c>
      <c r="C24" s="2" t="s">
        <v>13</v>
      </c>
      <c r="D24" s="3" t="s">
        <v>40</v>
      </c>
      <c r="E24" s="3">
        <v>94.3</v>
      </c>
      <c r="F24" s="3" t="s">
        <v>25</v>
      </c>
      <c r="G24" s="3" t="s">
        <v>14</v>
      </c>
      <c r="H24" s="9" t="s">
        <v>94</v>
      </c>
      <c r="I24" s="9">
        <v>4</v>
      </c>
      <c r="J24" s="4">
        <v>15</v>
      </c>
      <c r="K24" s="4">
        <v>10</v>
      </c>
      <c r="L24" s="4">
        <v>30</v>
      </c>
      <c r="M24" s="5">
        <f t="shared" ref="M24:M75" si="4">J24*K24*L24</f>
        <v>4500</v>
      </c>
      <c r="N24" s="10">
        <v>9</v>
      </c>
      <c r="O24" s="7">
        <f t="shared" ref="O24:O75" si="5">N24*M24</f>
        <v>40500</v>
      </c>
      <c r="P24" s="7">
        <f t="shared" ref="P24:P75" si="6">O24*18%</f>
        <v>7290</v>
      </c>
      <c r="Q24" s="8">
        <f t="shared" ref="Q24:Q75" si="7">O24+P24</f>
        <v>47790</v>
      </c>
    </row>
    <row r="25" spans="2:17" x14ac:dyDescent="0.3">
      <c r="B25" s="1">
        <v>12</v>
      </c>
      <c r="C25" s="2" t="s">
        <v>13</v>
      </c>
      <c r="D25" s="3" t="s">
        <v>41</v>
      </c>
      <c r="E25" s="3">
        <v>98.3</v>
      </c>
      <c r="F25" s="3" t="s">
        <v>25</v>
      </c>
      <c r="G25" s="3" t="s">
        <v>14</v>
      </c>
      <c r="H25" s="9" t="s">
        <v>386</v>
      </c>
      <c r="I25" s="9">
        <v>1</v>
      </c>
      <c r="J25" s="4">
        <v>15</v>
      </c>
      <c r="K25" s="4">
        <v>10</v>
      </c>
      <c r="L25" s="4">
        <v>30</v>
      </c>
      <c r="M25" s="5">
        <f t="shared" si="4"/>
        <v>4500</v>
      </c>
      <c r="N25" s="10">
        <v>10</v>
      </c>
      <c r="O25" s="7">
        <f t="shared" si="5"/>
        <v>45000</v>
      </c>
      <c r="P25" s="7">
        <f t="shared" si="6"/>
        <v>8100</v>
      </c>
      <c r="Q25" s="8">
        <f t="shared" si="7"/>
        <v>53100</v>
      </c>
    </row>
    <row r="26" spans="2:17" x14ac:dyDescent="0.3">
      <c r="B26" s="1">
        <v>13</v>
      </c>
      <c r="C26" s="2" t="s">
        <v>13</v>
      </c>
      <c r="D26" s="3" t="s">
        <v>42</v>
      </c>
      <c r="E26" s="3">
        <v>93.5</v>
      </c>
      <c r="F26" s="3" t="s">
        <v>26</v>
      </c>
      <c r="G26" s="3" t="s">
        <v>14</v>
      </c>
      <c r="H26" s="9" t="s">
        <v>15</v>
      </c>
      <c r="I26" s="9" t="s">
        <v>15</v>
      </c>
      <c r="J26" s="4">
        <v>15</v>
      </c>
      <c r="K26" s="4">
        <v>10</v>
      </c>
      <c r="L26" s="4">
        <v>30</v>
      </c>
      <c r="M26" s="5">
        <f t="shared" si="4"/>
        <v>4500</v>
      </c>
      <c r="N26" s="11">
        <v>9</v>
      </c>
      <c r="O26" s="7">
        <f t="shared" si="5"/>
        <v>40500</v>
      </c>
      <c r="P26" s="7">
        <f t="shared" si="6"/>
        <v>7290</v>
      </c>
      <c r="Q26" s="8">
        <f t="shared" si="7"/>
        <v>47790</v>
      </c>
    </row>
    <row r="27" spans="2:17" x14ac:dyDescent="0.3">
      <c r="B27" s="1">
        <v>14</v>
      </c>
      <c r="C27" s="2" t="s">
        <v>13</v>
      </c>
      <c r="D27" s="3" t="s">
        <v>40</v>
      </c>
      <c r="E27" s="12">
        <v>95</v>
      </c>
      <c r="F27" s="3" t="s">
        <v>26</v>
      </c>
      <c r="G27" s="3" t="s">
        <v>14</v>
      </c>
      <c r="H27" s="9" t="s">
        <v>15</v>
      </c>
      <c r="I27" s="9" t="s">
        <v>15</v>
      </c>
      <c r="J27" s="4">
        <v>15</v>
      </c>
      <c r="K27" s="4">
        <v>10</v>
      </c>
      <c r="L27" s="4">
        <v>30</v>
      </c>
      <c r="M27" s="5">
        <f t="shared" si="4"/>
        <v>4500</v>
      </c>
      <c r="N27" s="6">
        <v>9</v>
      </c>
      <c r="O27" s="7">
        <f t="shared" si="5"/>
        <v>40500</v>
      </c>
      <c r="P27" s="7">
        <f t="shared" si="6"/>
        <v>7290</v>
      </c>
      <c r="Q27" s="8">
        <f t="shared" si="7"/>
        <v>47790</v>
      </c>
    </row>
    <row r="28" spans="2:17" x14ac:dyDescent="0.3">
      <c r="B28" s="1">
        <v>15</v>
      </c>
      <c r="C28" s="2" t="s">
        <v>13</v>
      </c>
      <c r="D28" s="3" t="s">
        <v>27</v>
      </c>
      <c r="E28" s="3">
        <v>91.1</v>
      </c>
      <c r="F28" s="3" t="s">
        <v>28</v>
      </c>
      <c r="G28" s="3" t="s">
        <v>14</v>
      </c>
      <c r="H28" s="9" t="s">
        <v>15</v>
      </c>
      <c r="I28" s="9" t="s">
        <v>15</v>
      </c>
      <c r="J28" s="4">
        <v>15</v>
      </c>
      <c r="K28" s="4">
        <v>10</v>
      </c>
      <c r="L28" s="4">
        <v>30</v>
      </c>
      <c r="M28" s="5">
        <f t="shared" si="4"/>
        <v>4500</v>
      </c>
      <c r="N28" s="10">
        <v>10</v>
      </c>
      <c r="O28" s="7">
        <f t="shared" si="5"/>
        <v>45000</v>
      </c>
      <c r="P28" s="7">
        <f t="shared" si="6"/>
        <v>8100</v>
      </c>
      <c r="Q28" s="8">
        <f t="shared" si="7"/>
        <v>53100</v>
      </c>
    </row>
    <row r="29" spans="2:17" x14ac:dyDescent="0.3">
      <c r="B29" s="1">
        <v>16</v>
      </c>
      <c r="C29" s="2" t="s">
        <v>13</v>
      </c>
      <c r="D29" s="3" t="s">
        <v>40</v>
      </c>
      <c r="E29" s="3">
        <v>94.3</v>
      </c>
      <c r="F29" s="3" t="s">
        <v>28</v>
      </c>
      <c r="G29" s="3" t="s">
        <v>14</v>
      </c>
      <c r="H29" s="9" t="s">
        <v>15</v>
      </c>
      <c r="I29" s="9" t="s">
        <v>15</v>
      </c>
      <c r="J29" s="4">
        <v>15</v>
      </c>
      <c r="K29" s="4">
        <v>10</v>
      </c>
      <c r="L29" s="4">
        <v>30</v>
      </c>
      <c r="M29" s="5">
        <f t="shared" si="4"/>
        <v>4500</v>
      </c>
      <c r="N29" s="10">
        <v>10</v>
      </c>
      <c r="O29" s="7">
        <f t="shared" si="5"/>
        <v>45000</v>
      </c>
      <c r="P29" s="7">
        <f t="shared" si="6"/>
        <v>8100</v>
      </c>
      <c r="Q29" s="8">
        <f t="shared" si="7"/>
        <v>53100</v>
      </c>
    </row>
    <row r="30" spans="2:17" x14ac:dyDescent="0.3">
      <c r="B30" s="1">
        <v>17</v>
      </c>
      <c r="C30" s="2" t="s">
        <v>13</v>
      </c>
      <c r="D30" s="3" t="s">
        <v>43</v>
      </c>
      <c r="E30" s="3">
        <v>98.3</v>
      </c>
      <c r="F30" s="3" t="s">
        <v>28</v>
      </c>
      <c r="G30" s="3" t="s">
        <v>14</v>
      </c>
      <c r="H30" s="9" t="s">
        <v>15</v>
      </c>
      <c r="I30" s="9" t="s">
        <v>15</v>
      </c>
      <c r="J30" s="4">
        <v>15</v>
      </c>
      <c r="K30" s="4">
        <v>10</v>
      </c>
      <c r="L30" s="4">
        <v>30</v>
      </c>
      <c r="M30" s="5">
        <f t="shared" si="4"/>
        <v>4500</v>
      </c>
      <c r="N30" s="6">
        <v>12</v>
      </c>
      <c r="O30" s="7">
        <f t="shared" si="5"/>
        <v>54000</v>
      </c>
      <c r="P30" s="7">
        <f t="shared" si="6"/>
        <v>9720</v>
      </c>
      <c r="Q30" s="8">
        <f t="shared" si="7"/>
        <v>63720</v>
      </c>
    </row>
    <row r="31" spans="2:17" x14ac:dyDescent="0.3">
      <c r="B31" s="1">
        <v>18</v>
      </c>
      <c r="C31" s="2" t="s">
        <v>13</v>
      </c>
      <c r="D31" s="3" t="s">
        <v>38</v>
      </c>
      <c r="E31" s="3">
        <v>92.7</v>
      </c>
      <c r="F31" s="3" t="s">
        <v>29</v>
      </c>
      <c r="G31" s="3" t="s">
        <v>14</v>
      </c>
      <c r="H31" s="3" t="s">
        <v>175</v>
      </c>
      <c r="I31" s="3">
        <v>3</v>
      </c>
      <c r="J31" s="4">
        <v>15</v>
      </c>
      <c r="K31" s="4">
        <v>10</v>
      </c>
      <c r="L31" s="4">
        <v>30</v>
      </c>
      <c r="M31" s="5">
        <f t="shared" si="4"/>
        <v>4500</v>
      </c>
      <c r="N31" s="10">
        <v>9</v>
      </c>
      <c r="O31" s="7">
        <f t="shared" si="5"/>
        <v>40500</v>
      </c>
      <c r="P31" s="7">
        <f t="shared" si="6"/>
        <v>7290</v>
      </c>
      <c r="Q31" s="8">
        <f t="shared" si="7"/>
        <v>47790</v>
      </c>
    </row>
    <row r="32" spans="2:17" x14ac:dyDescent="0.3">
      <c r="B32" s="1">
        <v>19</v>
      </c>
      <c r="C32" s="2" t="s">
        <v>13</v>
      </c>
      <c r="D32" s="3" t="s">
        <v>27</v>
      </c>
      <c r="E32" s="12">
        <v>95</v>
      </c>
      <c r="F32" s="3" t="s">
        <v>29</v>
      </c>
      <c r="G32" s="3" t="s">
        <v>14</v>
      </c>
      <c r="H32" s="3" t="s">
        <v>173</v>
      </c>
      <c r="I32" s="3">
        <v>2</v>
      </c>
      <c r="J32" s="4">
        <v>15</v>
      </c>
      <c r="K32" s="4">
        <v>10</v>
      </c>
      <c r="L32" s="4">
        <v>30</v>
      </c>
      <c r="M32" s="5">
        <f t="shared" si="4"/>
        <v>4500</v>
      </c>
      <c r="N32" s="6">
        <v>12</v>
      </c>
      <c r="O32" s="7">
        <f t="shared" si="5"/>
        <v>54000</v>
      </c>
      <c r="P32" s="7">
        <f t="shared" si="6"/>
        <v>9720</v>
      </c>
      <c r="Q32" s="8">
        <f t="shared" si="7"/>
        <v>63720</v>
      </c>
    </row>
    <row r="33" spans="2:17" x14ac:dyDescent="0.3">
      <c r="B33" s="1">
        <v>20</v>
      </c>
      <c r="C33" s="2" t="s">
        <v>13</v>
      </c>
      <c r="D33" s="3" t="s">
        <v>41</v>
      </c>
      <c r="E33" s="3">
        <v>98.3</v>
      </c>
      <c r="F33" s="3" t="s">
        <v>29</v>
      </c>
      <c r="G33" s="3" t="s">
        <v>14</v>
      </c>
      <c r="H33" s="3" t="s">
        <v>93</v>
      </c>
      <c r="I33" s="3">
        <v>1</v>
      </c>
      <c r="J33" s="4">
        <v>15</v>
      </c>
      <c r="K33" s="4">
        <v>10</v>
      </c>
      <c r="L33" s="4">
        <v>30</v>
      </c>
      <c r="M33" s="5">
        <f t="shared" si="4"/>
        <v>4500</v>
      </c>
      <c r="N33" s="6">
        <v>11</v>
      </c>
      <c r="O33" s="7">
        <f t="shared" si="5"/>
        <v>49500</v>
      </c>
      <c r="P33" s="7">
        <f t="shared" si="6"/>
        <v>8910</v>
      </c>
      <c r="Q33" s="8">
        <f t="shared" si="7"/>
        <v>58410</v>
      </c>
    </row>
    <row r="34" spans="2:17" x14ac:dyDescent="0.3">
      <c r="B34" s="1">
        <v>21</v>
      </c>
      <c r="C34" s="2" t="s">
        <v>13</v>
      </c>
      <c r="D34" s="3" t="s">
        <v>44</v>
      </c>
      <c r="E34" s="3">
        <v>91.1</v>
      </c>
      <c r="F34" s="3" t="s">
        <v>30</v>
      </c>
      <c r="G34" s="3" t="s">
        <v>14</v>
      </c>
      <c r="H34" s="3" t="s">
        <v>387</v>
      </c>
      <c r="I34" s="3">
        <v>4</v>
      </c>
      <c r="J34" s="4">
        <v>15</v>
      </c>
      <c r="K34" s="4">
        <v>10</v>
      </c>
      <c r="L34" s="4">
        <v>30</v>
      </c>
      <c r="M34" s="5">
        <f t="shared" si="4"/>
        <v>4500</v>
      </c>
      <c r="N34" s="6">
        <v>75</v>
      </c>
      <c r="O34" s="7">
        <f t="shared" si="5"/>
        <v>337500</v>
      </c>
      <c r="P34" s="7">
        <f t="shared" si="6"/>
        <v>60750</v>
      </c>
      <c r="Q34" s="8">
        <f t="shared" si="7"/>
        <v>398250</v>
      </c>
    </row>
    <row r="35" spans="2:17" x14ac:dyDescent="0.3">
      <c r="B35" s="1">
        <v>22</v>
      </c>
      <c r="C35" s="2" t="s">
        <v>13</v>
      </c>
      <c r="D35" s="3" t="s">
        <v>45</v>
      </c>
      <c r="E35" s="3">
        <v>91.9</v>
      </c>
      <c r="F35" s="3" t="s">
        <v>30</v>
      </c>
      <c r="G35" s="3" t="s">
        <v>14</v>
      </c>
      <c r="H35" s="3" t="s">
        <v>316</v>
      </c>
      <c r="I35" s="3">
        <v>6</v>
      </c>
      <c r="J35" s="4">
        <v>15</v>
      </c>
      <c r="K35" s="4">
        <v>10</v>
      </c>
      <c r="L35" s="4">
        <v>30</v>
      </c>
      <c r="M35" s="5">
        <f t="shared" si="4"/>
        <v>4500</v>
      </c>
      <c r="N35" s="6">
        <v>65</v>
      </c>
      <c r="O35" s="7">
        <f t="shared" si="5"/>
        <v>292500</v>
      </c>
      <c r="P35" s="7">
        <f t="shared" si="6"/>
        <v>52650</v>
      </c>
      <c r="Q35" s="8">
        <f t="shared" si="7"/>
        <v>345150</v>
      </c>
    </row>
    <row r="36" spans="2:17" x14ac:dyDescent="0.3">
      <c r="B36" s="1">
        <v>23</v>
      </c>
      <c r="C36" s="2" t="s">
        <v>13</v>
      </c>
      <c r="D36" s="3" t="s">
        <v>46</v>
      </c>
      <c r="E36" s="3">
        <v>92.7</v>
      </c>
      <c r="F36" s="3" t="s">
        <v>30</v>
      </c>
      <c r="G36" s="3" t="s">
        <v>14</v>
      </c>
      <c r="H36" s="3" t="s">
        <v>388</v>
      </c>
      <c r="I36" s="3">
        <v>3</v>
      </c>
      <c r="J36" s="4">
        <v>15</v>
      </c>
      <c r="K36" s="4">
        <v>10</v>
      </c>
      <c r="L36" s="4">
        <v>30</v>
      </c>
      <c r="M36" s="5">
        <f t="shared" si="4"/>
        <v>4500</v>
      </c>
      <c r="N36" s="6">
        <v>70</v>
      </c>
      <c r="O36" s="7">
        <f t="shared" si="5"/>
        <v>315000</v>
      </c>
      <c r="P36" s="7">
        <f t="shared" si="6"/>
        <v>56700</v>
      </c>
      <c r="Q36" s="8">
        <f t="shared" si="7"/>
        <v>371700</v>
      </c>
    </row>
    <row r="37" spans="2:17" x14ac:dyDescent="0.3">
      <c r="B37" s="1">
        <v>24</v>
      </c>
      <c r="C37" s="2" t="s">
        <v>13</v>
      </c>
      <c r="D37" s="3" t="s">
        <v>47</v>
      </c>
      <c r="E37" s="3">
        <v>93.5</v>
      </c>
      <c r="F37" s="3" t="s">
        <v>30</v>
      </c>
      <c r="G37" s="3" t="s">
        <v>14</v>
      </c>
      <c r="H37" s="3" t="s">
        <v>389</v>
      </c>
      <c r="I37" s="3">
        <v>2</v>
      </c>
      <c r="J37" s="4">
        <v>15</v>
      </c>
      <c r="K37" s="4">
        <v>10</v>
      </c>
      <c r="L37" s="4">
        <v>30</v>
      </c>
      <c r="M37" s="5">
        <f t="shared" si="4"/>
        <v>4500</v>
      </c>
      <c r="N37" s="6">
        <v>95</v>
      </c>
      <c r="O37" s="7">
        <f t="shared" si="5"/>
        <v>427500</v>
      </c>
      <c r="P37" s="7">
        <f t="shared" si="6"/>
        <v>76950</v>
      </c>
      <c r="Q37" s="8">
        <f t="shared" si="7"/>
        <v>504450</v>
      </c>
    </row>
    <row r="38" spans="2:17" x14ac:dyDescent="0.3">
      <c r="B38" s="1">
        <v>25</v>
      </c>
      <c r="C38" s="2" t="s">
        <v>13</v>
      </c>
      <c r="D38" s="3" t="s">
        <v>48</v>
      </c>
      <c r="E38" s="3">
        <v>94.3</v>
      </c>
      <c r="F38" s="3" t="s">
        <v>30</v>
      </c>
      <c r="G38" s="3" t="s">
        <v>14</v>
      </c>
      <c r="H38" s="3" t="s">
        <v>167</v>
      </c>
      <c r="I38" s="3">
        <v>7</v>
      </c>
      <c r="J38" s="4">
        <v>15</v>
      </c>
      <c r="K38" s="4">
        <v>10</v>
      </c>
      <c r="L38" s="4">
        <v>30</v>
      </c>
      <c r="M38" s="5">
        <f t="shared" si="4"/>
        <v>4500</v>
      </c>
      <c r="N38" s="6">
        <v>65</v>
      </c>
      <c r="O38" s="7">
        <f t="shared" si="5"/>
        <v>292500</v>
      </c>
      <c r="P38" s="7">
        <f t="shared" si="6"/>
        <v>52650</v>
      </c>
      <c r="Q38" s="8">
        <f t="shared" si="7"/>
        <v>345150</v>
      </c>
    </row>
    <row r="39" spans="2:17" x14ac:dyDescent="0.3">
      <c r="B39" s="1">
        <v>26</v>
      </c>
      <c r="C39" s="2" t="s">
        <v>13</v>
      </c>
      <c r="D39" s="3" t="s">
        <v>41</v>
      </c>
      <c r="E39" s="3">
        <v>98.3</v>
      </c>
      <c r="F39" s="3" t="s">
        <v>30</v>
      </c>
      <c r="G39" s="3" t="s">
        <v>14</v>
      </c>
      <c r="H39" s="3" t="s">
        <v>314</v>
      </c>
      <c r="I39" s="3">
        <v>1</v>
      </c>
      <c r="J39" s="4">
        <v>15</v>
      </c>
      <c r="K39" s="4">
        <v>10</v>
      </c>
      <c r="L39" s="4">
        <v>30</v>
      </c>
      <c r="M39" s="5">
        <f t="shared" si="4"/>
        <v>4500</v>
      </c>
      <c r="N39" s="6">
        <v>95</v>
      </c>
      <c r="O39" s="7">
        <f t="shared" si="5"/>
        <v>427500</v>
      </c>
      <c r="P39" s="7">
        <f t="shared" si="6"/>
        <v>76950</v>
      </c>
      <c r="Q39" s="8">
        <f t="shared" si="7"/>
        <v>504450</v>
      </c>
    </row>
    <row r="40" spans="2:17" x14ac:dyDescent="0.3">
      <c r="B40" s="1">
        <v>27</v>
      </c>
      <c r="C40" s="2" t="s">
        <v>13</v>
      </c>
      <c r="D40" s="3" t="s">
        <v>49</v>
      </c>
      <c r="E40" s="3">
        <v>104</v>
      </c>
      <c r="F40" s="3" t="s">
        <v>30</v>
      </c>
      <c r="G40" s="3" t="s">
        <v>14</v>
      </c>
      <c r="H40" s="3" t="s">
        <v>390</v>
      </c>
      <c r="I40" s="3">
        <v>5</v>
      </c>
      <c r="J40" s="4">
        <v>15</v>
      </c>
      <c r="K40" s="4">
        <v>10</v>
      </c>
      <c r="L40" s="4">
        <v>30</v>
      </c>
      <c r="M40" s="5">
        <f t="shared" si="4"/>
        <v>4500</v>
      </c>
      <c r="N40" s="6">
        <v>65</v>
      </c>
      <c r="O40" s="7">
        <f t="shared" si="5"/>
        <v>292500</v>
      </c>
      <c r="P40" s="7">
        <f t="shared" si="6"/>
        <v>52650</v>
      </c>
      <c r="Q40" s="8">
        <f t="shared" si="7"/>
        <v>345150</v>
      </c>
    </row>
    <row r="41" spans="2:17" x14ac:dyDescent="0.3">
      <c r="B41" s="1">
        <v>28</v>
      </c>
      <c r="C41" s="2" t="s">
        <v>13</v>
      </c>
      <c r="D41" s="3" t="s">
        <v>310</v>
      </c>
      <c r="E41" s="3">
        <v>104.8</v>
      </c>
      <c r="F41" s="3" t="s">
        <v>30</v>
      </c>
      <c r="G41" s="3" t="s">
        <v>14</v>
      </c>
      <c r="H41" s="3" t="s">
        <v>391</v>
      </c>
      <c r="I41" s="3">
        <v>8</v>
      </c>
      <c r="J41" s="4">
        <v>15</v>
      </c>
      <c r="K41" s="4">
        <v>10</v>
      </c>
      <c r="L41" s="4">
        <v>30</v>
      </c>
      <c r="M41" s="5">
        <f t="shared" ref="M41" si="8">J41*K41*L41</f>
        <v>4500</v>
      </c>
      <c r="N41" s="6">
        <v>65</v>
      </c>
      <c r="O41" s="7">
        <f t="shared" ref="O41" si="9">N41*M41</f>
        <v>292500</v>
      </c>
      <c r="P41" s="7">
        <f t="shared" ref="P41" si="10">O41*18%</f>
        <v>52650</v>
      </c>
      <c r="Q41" s="8">
        <f t="shared" ref="Q41" si="11">O41+P41</f>
        <v>345150</v>
      </c>
    </row>
    <row r="42" spans="2:17" x14ac:dyDescent="0.3">
      <c r="B42" s="1">
        <v>29</v>
      </c>
      <c r="C42" s="2" t="s">
        <v>13</v>
      </c>
      <c r="D42" s="3" t="s">
        <v>50</v>
      </c>
      <c r="E42" s="3">
        <v>106.4</v>
      </c>
      <c r="F42" s="3" t="s">
        <v>30</v>
      </c>
      <c r="G42" s="3" t="s">
        <v>14</v>
      </c>
      <c r="H42" s="9" t="s">
        <v>269</v>
      </c>
      <c r="I42" s="9">
        <v>9</v>
      </c>
      <c r="J42" s="4">
        <v>15</v>
      </c>
      <c r="K42" s="4">
        <v>10</v>
      </c>
      <c r="L42" s="4">
        <v>30</v>
      </c>
      <c r="M42" s="5">
        <f t="shared" si="4"/>
        <v>4500</v>
      </c>
      <c r="N42" s="6">
        <v>40</v>
      </c>
      <c r="O42" s="7">
        <f t="shared" si="5"/>
        <v>180000</v>
      </c>
      <c r="P42" s="7">
        <f t="shared" si="6"/>
        <v>32400</v>
      </c>
      <c r="Q42" s="8">
        <f t="shared" si="7"/>
        <v>212400</v>
      </c>
    </row>
    <row r="43" spans="2:17" x14ac:dyDescent="0.3">
      <c r="B43" s="1">
        <v>30</v>
      </c>
      <c r="C43" s="2" t="s">
        <v>13</v>
      </c>
      <c r="D43" s="3" t="s">
        <v>27</v>
      </c>
      <c r="E43" s="3">
        <v>91.1</v>
      </c>
      <c r="F43" s="3" t="s">
        <v>31</v>
      </c>
      <c r="G43" s="3" t="s">
        <v>14</v>
      </c>
      <c r="H43" s="3" t="s">
        <v>392</v>
      </c>
      <c r="I43" s="3">
        <v>4</v>
      </c>
      <c r="J43" s="4">
        <v>15</v>
      </c>
      <c r="K43" s="4">
        <v>10</v>
      </c>
      <c r="L43" s="4">
        <v>30</v>
      </c>
      <c r="M43" s="5">
        <f t="shared" si="4"/>
        <v>4500</v>
      </c>
      <c r="N43" s="6">
        <v>10</v>
      </c>
      <c r="O43" s="7">
        <f t="shared" si="5"/>
        <v>45000</v>
      </c>
      <c r="P43" s="7">
        <f t="shared" si="6"/>
        <v>8100</v>
      </c>
      <c r="Q43" s="8">
        <f t="shared" si="7"/>
        <v>53100</v>
      </c>
    </row>
    <row r="44" spans="2:17" x14ac:dyDescent="0.3">
      <c r="B44" s="1">
        <v>31</v>
      </c>
      <c r="C44" s="2" t="s">
        <v>13</v>
      </c>
      <c r="D44" s="3" t="s">
        <v>51</v>
      </c>
      <c r="E44" s="3">
        <v>91.9</v>
      </c>
      <c r="F44" s="3" t="s">
        <v>31</v>
      </c>
      <c r="G44" s="3" t="s">
        <v>14</v>
      </c>
      <c r="H44" s="9" t="s">
        <v>393</v>
      </c>
      <c r="I44" s="9">
        <v>6</v>
      </c>
      <c r="J44" s="4">
        <v>15</v>
      </c>
      <c r="K44" s="4">
        <v>10</v>
      </c>
      <c r="L44" s="4">
        <v>30</v>
      </c>
      <c r="M44" s="5">
        <f t="shared" si="4"/>
        <v>4500</v>
      </c>
      <c r="N44" s="6">
        <v>10</v>
      </c>
      <c r="O44" s="7">
        <f t="shared" si="5"/>
        <v>45000</v>
      </c>
      <c r="P44" s="7">
        <f t="shared" si="6"/>
        <v>8100</v>
      </c>
      <c r="Q44" s="8">
        <f t="shared" si="7"/>
        <v>53100</v>
      </c>
    </row>
    <row r="45" spans="2:17" x14ac:dyDescent="0.3">
      <c r="B45" s="1">
        <v>32</v>
      </c>
      <c r="C45" s="2" t="s">
        <v>13</v>
      </c>
      <c r="D45" s="3" t="s">
        <v>38</v>
      </c>
      <c r="E45" s="3">
        <v>92.7</v>
      </c>
      <c r="F45" s="3" t="s">
        <v>31</v>
      </c>
      <c r="G45" s="3" t="s">
        <v>14</v>
      </c>
      <c r="H45" s="3" t="s">
        <v>394</v>
      </c>
      <c r="I45" s="3">
        <v>5</v>
      </c>
      <c r="J45" s="4">
        <v>15</v>
      </c>
      <c r="K45" s="4">
        <v>10</v>
      </c>
      <c r="L45" s="4">
        <v>30</v>
      </c>
      <c r="M45" s="5">
        <f t="shared" si="4"/>
        <v>4500</v>
      </c>
      <c r="N45" s="6">
        <v>8</v>
      </c>
      <c r="O45" s="7">
        <f t="shared" si="5"/>
        <v>36000</v>
      </c>
      <c r="P45" s="7">
        <f t="shared" si="6"/>
        <v>6480</v>
      </c>
      <c r="Q45" s="8">
        <f t="shared" si="7"/>
        <v>42480</v>
      </c>
    </row>
    <row r="46" spans="2:17" x14ac:dyDescent="0.3">
      <c r="B46" s="1">
        <v>33</v>
      </c>
      <c r="C46" s="2" t="s">
        <v>13</v>
      </c>
      <c r="D46" s="3" t="s">
        <v>42</v>
      </c>
      <c r="E46" s="3">
        <v>93.5</v>
      </c>
      <c r="F46" s="3" t="s">
        <v>31</v>
      </c>
      <c r="G46" s="3" t="s">
        <v>14</v>
      </c>
      <c r="H46" s="3" t="s">
        <v>395</v>
      </c>
      <c r="I46" s="3">
        <v>3</v>
      </c>
      <c r="J46" s="4">
        <v>15</v>
      </c>
      <c r="K46" s="4">
        <v>10</v>
      </c>
      <c r="L46" s="4">
        <v>30</v>
      </c>
      <c r="M46" s="5">
        <f t="shared" si="4"/>
        <v>4500</v>
      </c>
      <c r="N46" s="6">
        <v>10</v>
      </c>
      <c r="O46" s="7">
        <f t="shared" si="5"/>
        <v>45000</v>
      </c>
      <c r="P46" s="7">
        <f t="shared" si="6"/>
        <v>8100</v>
      </c>
      <c r="Q46" s="8">
        <f t="shared" si="7"/>
        <v>53100</v>
      </c>
    </row>
    <row r="47" spans="2:17" x14ac:dyDescent="0.3">
      <c r="B47" s="1">
        <v>34</v>
      </c>
      <c r="C47" s="2" t="s">
        <v>13</v>
      </c>
      <c r="D47" s="3" t="s">
        <v>40</v>
      </c>
      <c r="E47" s="3">
        <v>94.3</v>
      </c>
      <c r="F47" s="3" t="s">
        <v>31</v>
      </c>
      <c r="G47" s="3" t="s">
        <v>14</v>
      </c>
      <c r="H47" s="9" t="s">
        <v>396</v>
      </c>
      <c r="I47" s="9">
        <v>2</v>
      </c>
      <c r="J47" s="4">
        <v>15</v>
      </c>
      <c r="K47" s="4">
        <v>10</v>
      </c>
      <c r="L47" s="4">
        <v>30</v>
      </c>
      <c r="M47" s="5">
        <f t="shared" si="4"/>
        <v>4500</v>
      </c>
      <c r="N47" s="6">
        <v>12</v>
      </c>
      <c r="O47" s="7">
        <f t="shared" si="5"/>
        <v>54000</v>
      </c>
      <c r="P47" s="7">
        <f t="shared" si="6"/>
        <v>9720</v>
      </c>
      <c r="Q47" s="8">
        <f t="shared" si="7"/>
        <v>63720</v>
      </c>
    </row>
    <row r="48" spans="2:17" x14ac:dyDescent="0.3">
      <c r="B48" s="1">
        <v>35</v>
      </c>
      <c r="C48" s="2" t="s">
        <v>13</v>
      </c>
      <c r="D48" s="3" t="s">
        <v>41</v>
      </c>
      <c r="E48" s="3">
        <v>98.3</v>
      </c>
      <c r="F48" s="3" t="s">
        <v>31</v>
      </c>
      <c r="G48" s="3" t="s">
        <v>14</v>
      </c>
      <c r="H48" s="3" t="s">
        <v>397</v>
      </c>
      <c r="I48" s="3">
        <v>1</v>
      </c>
      <c r="J48" s="4">
        <v>15</v>
      </c>
      <c r="K48" s="4">
        <v>10</v>
      </c>
      <c r="L48" s="4">
        <v>30</v>
      </c>
      <c r="M48" s="5">
        <f t="shared" si="4"/>
        <v>4500</v>
      </c>
      <c r="N48" s="6">
        <v>15</v>
      </c>
      <c r="O48" s="7">
        <f t="shared" si="5"/>
        <v>67500</v>
      </c>
      <c r="P48" s="7">
        <f t="shared" si="6"/>
        <v>12150</v>
      </c>
      <c r="Q48" s="8">
        <f t="shared" si="7"/>
        <v>79650</v>
      </c>
    </row>
    <row r="49" spans="2:17" x14ac:dyDescent="0.3">
      <c r="B49" s="1">
        <v>36</v>
      </c>
      <c r="C49" s="2" t="s">
        <v>13</v>
      </c>
      <c r="D49" s="3" t="s">
        <v>44</v>
      </c>
      <c r="E49" s="3">
        <v>91.1</v>
      </c>
      <c r="F49" s="3" t="s">
        <v>32</v>
      </c>
      <c r="G49" s="3" t="s">
        <v>14</v>
      </c>
      <c r="H49" s="9" t="s">
        <v>15</v>
      </c>
      <c r="I49" s="9" t="s">
        <v>15</v>
      </c>
      <c r="J49" s="4">
        <v>15</v>
      </c>
      <c r="K49" s="4">
        <v>10</v>
      </c>
      <c r="L49" s="4">
        <v>30</v>
      </c>
      <c r="M49" s="5">
        <f t="shared" si="4"/>
        <v>4500</v>
      </c>
      <c r="N49" s="6">
        <v>9</v>
      </c>
      <c r="O49" s="7">
        <f t="shared" si="5"/>
        <v>40500</v>
      </c>
      <c r="P49" s="7">
        <f t="shared" si="6"/>
        <v>7290</v>
      </c>
      <c r="Q49" s="8">
        <f t="shared" si="7"/>
        <v>47790</v>
      </c>
    </row>
    <row r="50" spans="2:17" x14ac:dyDescent="0.3">
      <c r="B50" s="1">
        <v>37</v>
      </c>
      <c r="C50" s="2" t="s">
        <v>13</v>
      </c>
      <c r="D50" s="3" t="s">
        <v>47</v>
      </c>
      <c r="E50" s="3">
        <v>93.5</v>
      </c>
      <c r="F50" s="3" t="s">
        <v>32</v>
      </c>
      <c r="G50" s="3" t="s">
        <v>14</v>
      </c>
      <c r="H50" s="9" t="s">
        <v>15</v>
      </c>
      <c r="I50" s="9" t="s">
        <v>15</v>
      </c>
      <c r="J50" s="4">
        <v>15</v>
      </c>
      <c r="K50" s="4">
        <v>10</v>
      </c>
      <c r="L50" s="4">
        <v>30</v>
      </c>
      <c r="M50" s="5">
        <f t="shared" si="4"/>
        <v>4500</v>
      </c>
      <c r="N50" s="6">
        <v>10</v>
      </c>
      <c r="O50" s="7">
        <f t="shared" si="5"/>
        <v>45000</v>
      </c>
      <c r="P50" s="7">
        <f t="shared" si="6"/>
        <v>8100</v>
      </c>
      <c r="Q50" s="8">
        <f t="shared" si="7"/>
        <v>53100</v>
      </c>
    </row>
    <row r="51" spans="2:17" x14ac:dyDescent="0.3">
      <c r="B51" s="1">
        <v>38</v>
      </c>
      <c r="C51" s="2" t="s">
        <v>13</v>
      </c>
      <c r="D51" s="3" t="s">
        <v>40</v>
      </c>
      <c r="E51" s="3">
        <v>94.3</v>
      </c>
      <c r="F51" s="3" t="s">
        <v>32</v>
      </c>
      <c r="G51" s="3" t="s">
        <v>14</v>
      </c>
      <c r="H51" s="9" t="s">
        <v>248</v>
      </c>
      <c r="I51" s="9" t="s">
        <v>15</v>
      </c>
      <c r="J51" s="4">
        <v>15</v>
      </c>
      <c r="K51" s="4">
        <v>10</v>
      </c>
      <c r="L51" s="4">
        <v>30</v>
      </c>
      <c r="M51" s="5">
        <f t="shared" si="4"/>
        <v>4500</v>
      </c>
      <c r="N51" s="6">
        <v>9</v>
      </c>
      <c r="O51" s="7">
        <f t="shared" si="5"/>
        <v>40500</v>
      </c>
      <c r="P51" s="7">
        <f t="shared" si="6"/>
        <v>7290</v>
      </c>
      <c r="Q51" s="8">
        <f t="shared" si="7"/>
        <v>47790</v>
      </c>
    </row>
    <row r="52" spans="2:17" x14ac:dyDescent="0.3">
      <c r="B52" s="1">
        <v>39</v>
      </c>
      <c r="C52" s="2" t="s">
        <v>13</v>
      </c>
      <c r="D52" s="3" t="s">
        <v>47</v>
      </c>
      <c r="E52" s="3">
        <v>93.5</v>
      </c>
      <c r="F52" s="3" t="s">
        <v>33</v>
      </c>
      <c r="G52" s="3" t="s">
        <v>14</v>
      </c>
      <c r="H52" s="3" t="s">
        <v>398</v>
      </c>
      <c r="I52" s="3">
        <v>2</v>
      </c>
      <c r="J52" s="4">
        <v>15</v>
      </c>
      <c r="K52" s="4">
        <v>10</v>
      </c>
      <c r="L52" s="4">
        <v>30</v>
      </c>
      <c r="M52" s="5">
        <f t="shared" si="4"/>
        <v>4500</v>
      </c>
      <c r="N52" s="6">
        <v>12</v>
      </c>
      <c r="O52" s="7">
        <f t="shared" si="5"/>
        <v>54000</v>
      </c>
      <c r="P52" s="7">
        <f t="shared" si="6"/>
        <v>9720</v>
      </c>
      <c r="Q52" s="8">
        <f t="shared" si="7"/>
        <v>63720</v>
      </c>
    </row>
    <row r="53" spans="2:17" x14ac:dyDescent="0.3">
      <c r="B53" s="1">
        <v>40</v>
      </c>
      <c r="C53" s="2" t="s">
        <v>13</v>
      </c>
      <c r="D53" s="3" t="s">
        <v>44</v>
      </c>
      <c r="E53" s="12">
        <v>95</v>
      </c>
      <c r="F53" s="3" t="s">
        <v>33</v>
      </c>
      <c r="G53" s="3" t="s">
        <v>14</v>
      </c>
      <c r="H53" s="3" t="s">
        <v>15</v>
      </c>
      <c r="I53" s="3" t="s">
        <v>15</v>
      </c>
      <c r="J53" s="4">
        <v>15</v>
      </c>
      <c r="K53" s="4">
        <v>10</v>
      </c>
      <c r="L53" s="4">
        <v>30</v>
      </c>
      <c r="M53" s="5">
        <f t="shared" si="4"/>
        <v>4500</v>
      </c>
      <c r="N53" s="6">
        <v>10</v>
      </c>
      <c r="O53" s="7">
        <f t="shared" si="5"/>
        <v>45000</v>
      </c>
      <c r="P53" s="7">
        <f t="shared" si="6"/>
        <v>8100</v>
      </c>
      <c r="Q53" s="8">
        <f t="shared" si="7"/>
        <v>53100</v>
      </c>
    </row>
    <row r="54" spans="2:17" x14ac:dyDescent="0.3">
      <c r="B54" s="1">
        <v>41</v>
      </c>
      <c r="C54" s="2" t="s">
        <v>13</v>
      </c>
      <c r="D54" s="3" t="s">
        <v>41</v>
      </c>
      <c r="E54" s="3">
        <v>98.3</v>
      </c>
      <c r="F54" s="3" t="s">
        <v>33</v>
      </c>
      <c r="G54" s="3" t="s">
        <v>14</v>
      </c>
      <c r="H54" s="3" t="s">
        <v>244</v>
      </c>
      <c r="I54" s="3"/>
      <c r="J54" s="4">
        <v>15</v>
      </c>
      <c r="K54" s="4">
        <v>10</v>
      </c>
      <c r="L54" s="4">
        <v>30</v>
      </c>
      <c r="M54" s="5">
        <f t="shared" si="4"/>
        <v>4500</v>
      </c>
      <c r="N54" s="6">
        <v>12</v>
      </c>
      <c r="O54" s="7">
        <f t="shared" si="5"/>
        <v>54000</v>
      </c>
      <c r="P54" s="7">
        <f t="shared" si="6"/>
        <v>9720</v>
      </c>
      <c r="Q54" s="8">
        <f t="shared" si="7"/>
        <v>63720</v>
      </c>
    </row>
    <row r="55" spans="2:17" x14ac:dyDescent="0.3">
      <c r="B55" s="1">
        <v>42</v>
      </c>
      <c r="C55" s="2" t="s">
        <v>13</v>
      </c>
      <c r="D55" s="3" t="s">
        <v>40</v>
      </c>
      <c r="E55" s="3">
        <v>104.2</v>
      </c>
      <c r="F55" s="3" t="s">
        <v>33</v>
      </c>
      <c r="G55" s="3" t="s">
        <v>14</v>
      </c>
      <c r="H55" s="3" t="s">
        <v>399</v>
      </c>
      <c r="I55" s="3"/>
      <c r="J55" s="4">
        <v>15</v>
      </c>
      <c r="K55" s="4">
        <v>10</v>
      </c>
      <c r="L55" s="4">
        <v>30</v>
      </c>
      <c r="M55" s="5">
        <f t="shared" si="4"/>
        <v>4500</v>
      </c>
      <c r="N55" s="6">
        <v>11</v>
      </c>
      <c r="O55" s="7">
        <f t="shared" si="5"/>
        <v>49500</v>
      </c>
      <c r="P55" s="7">
        <f t="shared" si="6"/>
        <v>8910</v>
      </c>
      <c r="Q55" s="8">
        <f t="shared" si="7"/>
        <v>58410</v>
      </c>
    </row>
    <row r="56" spans="2:17" x14ac:dyDescent="0.3">
      <c r="B56" s="1">
        <v>43</v>
      </c>
      <c r="C56" s="2" t="s">
        <v>13</v>
      </c>
      <c r="D56" s="3" t="s">
        <v>27</v>
      </c>
      <c r="E56" s="3">
        <v>91.1</v>
      </c>
      <c r="F56" s="3" t="s">
        <v>34</v>
      </c>
      <c r="G56" s="3" t="s">
        <v>14</v>
      </c>
      <c r="H56" s="3" t="s">
        <v>400</v>
      </c>
      <c r="I56" s="3"/>
      <c r="J56" s="4">
        <v>15</v>
      </c>
      <c r="K56" s="4">
        <v>10</v>
      </c>
      <c r="L56" s="4">
        <v>30</v>
      </c>
      <c r="M56" s="5">
        <f t="shared" si="4"/>
        <v>4500</v>
      </c>
      <c r="N56" s="6">
        <v>20</v>
      </c>
      <c r="O56" s="7">
        <f t="shared" si="5"/>
        <v>90000</v>
      </c>
      <c r="P56" s="7">
        <f t="shared" si="6"/>
        <v>16200</v>
      </c>
      <c r="Q56" s="8">
        <f t="shared" si="7"/>
        <v>106200</v>
      </c>
    </row>
    <row r="57" spans="2:17" x14ac:dyDescent="0.3">
      <c r="B57" s="1">
        <v>44</v>
      </c>
      <c r="C57" s="2" t="s">
        <v>13</v>
      </c>
      <c r="D57" s="3" t="s">
        <v>42</v>
      </c>
      <c r="E57" s="3">
        <v>93.5</v>
      </c>
      <c r="F57" s="3" t="s">
        <v>34</v>
      </c>
      <c r="G57" s="3" t="s">
        <v>14</v>
      </c>
      <c r="H57" s="3" t="s">
        <v>287</v>
      </c>
      <c r="I57" s="3"/>
      <c r="J57" s="4">
        <v>15</v>
      </c>
      <c r="K57" s="4">
        <v>10</v>
      </c>
      <c r="L57" s="4">
        <v>30</v>
      </c>
      <c r="M57" s="5">
        <f t="shared" si="4"/>
        <v>4500</v>
      </c>
      <c r="N57" s="6">
        <v>25</v>
      </c>
      <c r="O57" s="7">
        <f t="shared" si="5"/>
        <v>112500</v>
      </c>
      <c r="P57" s="7">
        <f t="shared" si="6"/>
        <v>20250</v>
      </c>
      <c r="Q57" s="8">
        <f t="shared" si="7"/>
        <v>132750</v>
      </c>
    </row>
    <row r="58" spans="2:17" x14ac:dyDescent="0.3">
      <c r="B58" s="1">
        <v>45</v>
      </c>
      <c r="C58" s="2" t="s">
        <v>13</v>
      </c>
      <c r="D58" s="3" t="s">
        <v>48</v>
      </c>
      <c r="E58" s="3">
        <v>94.3</v>
      </c>
      <c r="F58" s="3" t="s">
        <v>34</v>
      </c>
      <c r="G58" s="3" t="s">
        <v>14</v>
      </c>
      <c r="H58" s="3" t="s">
        <v>331</v>
      </c>
      <c r="I58" s="3"/>
      <c r="J58" s="4">
        <v>15</v>
      </c>
      <c r="K58" s="4">
        <v>10</v>
      </c>
      <c r="L58" s="4">
        <v>30</v>
      </c>
      <c r="M58" s="5">
        <f t="shared" si="4"/>
        <v>4500</v>
      </c>
      <c r="N58" s="6">
        <v>18</v>
      </c>
      <c r="O58" s="7">
        <f t="shared" si="5"/>
        <v>81000</v>
      </c>
      <c r="P58" s="7">
        <f t="shared" si="6"/>
        <v>14580</v>
      </c>
      <c r="Q58" s="8">
        <f t="shared" si="7"/>
        <v>95580</v>
      </c>
    </row>
    <row r="59" spans="2:17" x14ac:dyDescent="0.3">
      <c r="B59" s="1">
        <v>46</v>
      </c>
      <c r="C59" s="2" t="s">
        <v>13</v>
      </c>
      <c r="D59" s="3" t="s">
        <v>46</v>
      </c>
      <c r="E59" s="12">
        <v>95</v>
      </c>
      <c r="F59" s="3" t="s">
        <v>34</v>
      </c>
      <c r="G59" s="3" t="s">
        <v>14</v>
      </c>
      <c r="H59" s="3" t="s">
        <v>401</v>
      </c>
      <c r="I59" s="3"/>
      <c r="J59" s="4">
        <v>15</v>
      </c>
      <c r="K59" s="4">
        <v>10</v>
      </c>
      <c r="L59" s="4">
        <v>30</v>
      </c>
      <c r="M59" s="5">
        <f t="shared" si="4"/>
        <v>4500</v>
      </c>
      <c r="N59" s="6">
        <v>20</v>
      </c>
      <c r="O59" s="7">
        <f t="shared" si="5"/>
        <v>90000</v>
      </c>
      <c r="P59" s="7">
        <f t="shared" si="6"/>
        <v>16200</v>
      </c>
      <c r="Q59" s="8">
        <f t="shared" si="7"/>
        <v>106200</v>
      </c>
    </row>
    <row r="60" spans="2:17" x14ac:dyDescent="0.3">
      <c r="B60" s="1">
        <v>46</v>
      </c>
      <c r="C60" s="2" t="s">
        <v>13</v>
      </c>
      <c r="D60" s="3" t="s">
        <v>49</v>
      </c>
      <c r="E60" s="12">
        <v>94.3</v>
      </c>
      <c r="F60" s="3" t="s">
        <v>34</v>
      </c>
      <c r="G60" s="3" t="s">
        <v>14</v>
      </c>
      <c r="H60" s="3" t="s">
        <v>331</v>
      </c>
      <c r="I60" s="3"/>
      <c r="J60" s="4">
        <v>15</v>
      </c>
      <c r="K60" s="4">
        <v>10</v>
      </c>
      <c r="L60" s="4">
        <v>30</v>
      </c>
      <c r="M60" s="5">
        <f t="shared" ref="M60" si="12">J60*K60*L60</f>
        <v>4500</v>
      </c>
      <c r="N60" s="6">
        <v>24</v>
      </c>
      <c r="O60" s="7">
        <f t="shared" ref="O60" si="13">N60*M60</f>
        <v>108000</v>
      </c>
      <c r="P60" s="7">
        <f t="shared" ref="P60" si="14">O60*18%</f>
        <v>19440</v>
      </c>
      <c r="Q60" s="8">
        <f t="shared" ref="Q60" si="15">O60+P60</f>
        <v>127440</v>
      </c>
    </row>
    <row r="61" spans="2:17" x14ac:dyDescent="0.3">
      <c r="B61" s="1">
        <v>47</v>
      </c>
      <c r="C61" s="2" t="s">
        <v>13</v>
      </c>
      <c r="D61" s="3" t="s">
        <v>41</v>
      </c>
      <c r="E61" s="3">
        <v>98.3</v>
      </c>
      <c r="F61" s="3" t="s">
        <v>34</v>
      </c>
      <c r="G61" s="3" t="s">
        <v>14</v>
      </c>
      <c r="H61" s="3" t="s">
        <v>321</v>
      </c>
      <c r="I61" s="3">
        <v>1</v>
      </c>
      <c r="J61" s="4">
        <v>15</v>
      </c>
      <c r="K61" s="4">
        <v>10</v>
      </c>
      <c r="L61" s="4">
        <v>30</v>
      </c>
      <c r="M61" s="5">
        <f t="shared" si="4"/>
        <v>4500</v>
      </c>
      <c r="N61" s="6">
        <v>35</v>
      </c>
      <c r="O61" s="7">
        <f t="shared" si="5"/>
        <v>157500</v>
      </c>
      <c r="P61" s="7">
        <f t="shared" si="6"/>
        <v>28350</v>
      </c>
      <c r="Q61" s="8">
        <f t="shared" si="7"/>
        <v>185850</v>
      </c>
    </row>
    <row r="62" spans="2:17" x14ac:dyDescent="0.3">
      <c r="B62" s="1">
        <v>48</v>
      </c>
      <c r="C62" s="2" t="s">
        <v>13</v>
      </c>
      <c r="D62" s="3" t="s">
        <v>51</v>
      </c>
      <c r="E62" s="3">
        <v>104.2</v>
      </c>
      <c r="F62" s="3" t="s">
        <v>34</v>
      </c>
      <c r="G62" s="3" t="s">
        <v>14</v>
      </c>
      <c r="H62" s="3" t="s">
        <v>402</v>
      </c>
      <c r="I62" s="3">
        <v>5</v>
      </c>
      <c r="J62" s="4">
        <v>15</v>
      </c>
      <c r="K62" s="4">
        <v>10</v>
      </c>
      <c r="L62" s="4">
        <v>30</v>
      </c>
      <c r="M62" s="5">
        <f t="shared" si="4"/>
        <v>4500</v>
      </c>
      <c r="N62" s="6">
        <v>30</v>
      </c>
      <c r="O62" s="7">
        <f t="shared" si="5"/>
        <v>135000</v>
      </c>
      <c r="P62" s="7">
        <f t="shared" si="6"/>
        <v>24300</v>
      </c>
      <c r="Q62" s="8">
        <f t="shared" si="7"/>
        <v>159300</v>
      </c>
    </row>
    <row r="63" spans="2:17" x14ac:dyDescent="0.3">
      <c r="B63" s="1">
        <v>49</v>
      </c>
      <c r="C63" s="2" t="s">
        <v>13</v>
      </c>
      <c r="D63" s="3" t="s">
        <v>27</v>
      </c>
      <c r="E63" s="3">
        <v>91.1</v>
      </c>
      <c r="F63" s="3" t="s">
        <v>35</v>
      </c>
      <c r="G63" s="3" t="s">
        <v>14</v>
      </c>
      <c r="H63" s="9" t="s">
        <v>15</v>
      </c>
      <c r="I63" s="9" t="s">
        <v>15</v>
      </c>
      <c r="J63" s="4">
        <v>15</v>
      </c>
      <c r="K63" s="4">
        <v>10</v>
      </c>
      <c r="L63" s="4">
        <v>30</v>
      </c>
      <c r="M63" s="5">
        <f t="shared" si="4"/>
        <v>4500</v>
      </c>
      <c r="N63" s="6">
        <v>8</v>
      </c>
      <c r="O63" s="7">
        <f t="shared" si="5"/>
        <v>36000</v>
      </c>
      <c r="P63" s="7">
        <f t="shared" si="6"/>
        <v>6480</v>
      </c>
      <c r="Q63" s="8">
        <f t="shared" si="7"/>
        <v>42480</v>
      </c>
    </row>
    <row r="64" spans="2:17" x14ac:dyDescent="0.3">
      <c r="B64" s="1">
        <v>50</v>
      </c>
      <c r="C64" s="2" t="s">
        <v>13</v>
      </c>
      <c r="D64" s="3" t="s">
        <v>39</v>
      </c>
      <c r="E64" s="3">
        <v>93.5</v>
      </c>
      <c r="F64" s="3" t="s">
        <v>35</v>
      </c>
      <c r="G64" s="3" t="s">
        <v>14</v>
      </c>
      <c r="H64" s="9" t="s">
        <v>15</v>
      </c>
      <c r="I64" s="9" t="s">
        <v>15</v>
      </c>
      <c r="J64" s="4">
        <v>15</v>
      </c>
      <c r="K64" s="4">
        <v>10</v>
      </c>
      <c r="L64" s="4">
        <v>30</v>
      </c>
      <c r="M64" s="5">
        <f t="shared" si="4"/>
        <v>4500</v>
      </c>
      <c r="N64" s="6">
        <v>9</v>
      </c>
      <c r="O64" s="7">
        <f t="shared" si="5"/>
        <v>40500</v>
      </c>
      <c r="P64" s="7">
        <f t="shared" si="6"/>
        <v>7290</v>
      </c>
      <c r="Q64" s="8">
        <f t="shared" si="7"/>
        <v>47790</v>
      </c>
    </row>
    <row r="65" spans="2:17" x14ac:dyDescent="0.3">
      <c r="B65" s="1">
        <v>51</v>
      </c>
      <c r="C65" s="2" t="s">
        <v>13</v>
      </c>
      <c r="D65" s="3" t="s">
        <v>40</v>
      </c>
      <c r="E65" s="3">
        <v>104</v>
      </c>
      <c r="F65" s="3" t="s">
        <v>35</v>
      </c>
      <c r="G65" s="3" t="s">
        <v>14</v>
      </c>
      <c r="H65" s="9" t="s">
        <v>403</v>
      </c>
      <c r="I65" s="9" t="s">
        <v>15</v>
      </c>
      <c r="J65" s="4">
        <v>15</v>
      </c>
      <c r="K65" s="4">
        <v>10</v>
      </c>
      <c r="L65" s="4">
        <v>30</v>
      </c>
      <c r="M65" s="5">
        <f t="shared" si="4"/>
        <v>4500</v>
      </c>
      <c r="N65" s="6">
        <v>9</v>
      </c>
      <c r="O65" s="7">
        <f t="shared" si="5"/>
        <v>40500</v>
      </c>
      <c r="P65" s="7">
        <f t="shared" si="6"/>
        <v>7290</v>
      </c>
      <c r="Q65" s="8">
        <f t="shared" si="7"/>
        <v>47790</v>
      </c>
    </row>
    <row r="66" spans="2:17" x14ac:dyDescent="0.3">
      <c r="B66" s="1">
        <v>52</v>
      </c>
      <c r="C66" s="2" t="s">
        <v>13</v>
      </c>
      <c r="D66" s="3" t="s">
        <v>27</v>
      </c>
      <c r="E66" s="3">
        <v>91.1</v>
      </c>
      <c r="F66" s="3" t="s">
        <v>36</v>
      </c>
      <c r="G66" s="3" t="s">
        <v>14</v>
      </c>
      <c r="H66" s="9" t="s">
        <v>15</v>
      </c>
      <c r="I66" s="9" t="s">
        <v>15</v>
      </c>
      <c r="J66" s="4">
        <v>15</v>
      </c>
      <c r="K66" s="4">
        <v>10</v>
      </c>
      <c r="L66" s="4">
        <v>30</v>
      </c>
      <c r="M66" s="5">
        <f t="shared" si="4"/>
        <v>4500</v>
      </c>
      <c r="N66" s="6">
        <v>8</v>
      </c>
      <c r="O66" s="7">
        <f t="shared" si="5"/>
        <v>36000</v>
      </c>
      <c r="P66" s="7">
        <f t="shared" si="6"/>
        <v>6480</v>
      </c>
      <c r="Q66" s="8">
        <f t="shared" si="7"/>
        <v>42480</v>
      </c>
    </row>
    <row r="67" spans="2:17" x14ac:dyDescent="0.3">
      <c r="B67" s="1">
        <v>53</v>
      </c>
      <c r="C67" s="2" t="s">
        <v>13</v>
      </c>
      <c r="D67" s="3" t="s">
        <v>40</v>
      </c>
      <c r="E67" s="12">
        <v>95</v>
      </c>
      <c r="F67" s="3" t="s">
        <v>36</v>
      </c>
      <c r="G67" s="3" t="s">
        <v>14</v>
      </c>
      <c r="H67" s="9" t="s">
        <v>272</v>
      </c>
      <c r="I67" s="9">
        <v>2</v>
      </c>
      <c r="J67" s="4">
        <v>15</v>
      </c>
      <c r="K67" s="4">
        <v>10</v>
      </c>
      <c r="L67" s="4">
        <v>30</v>
      </c>
      <c r="M67" s="5">
        <f t="shared" si="4"/>
        <v>4500</v>
      </c>
      <c r="N67" s="6">
        <v>10</v>
      </c>
      <c r="O67" s="7">
        <f t="shared" si="5"/>
        <v>45000</v>
      </c>
      <c r="P67" s="7">
        <f t="shared" si="6"/>
        <v>8100</v>
      </c>
      <c r="Q67" s="8">
        <f t="shared" si="7"/>
        <v>53100</v>
      </c>
    </row>
    <row r="68" spans="2:17" x14ac:dyDescent="0.3">
      <c r="B68" s="1">
        <v>54</v>
      </c>
      <c r="C68" s="2" t="s">
        <v>13</v>
      </c>
      <c r="D68" s="3" t="s">
        <v>52</v>
      </c>
      <c r="E68" s="3">
        <v>104.8</v>
      </c>
      <c r="F68" s="3" t="s">
        <v>36</v>
      </c>
      <c r="G68" s="3" t="s">
        <v>14</v>
      </c>
      <c r="H68" s="9" t="s">
        <v>15</v>
      </c>
      <c r="I68" s="9" t="s">
        <v>15</v>
      </c>
      <c r="J68" s="4">
        <v>15</v>
      </c>
      <c r="K68" s="4">
        <v>10</v>
      </c>
      <c r="L68" s="4">
        <v>30</v>
      </c>
      <c r="M68" s="5">
        <f t="shared" si="4"/>
        <v>4500</v>
      </c>
      <c r="N68" s="6">
        <v>10</v>
      </c>
      <c r="O68" s="7">
        <f t="shared" si="5"/>
        <v>45000</v>
      </c>
      <c r="P68" s="7">
        <f t="shared" si="6"/>
        <v>8100</v>
      </c>
      <c r="Q68" s="8">
        <f t="shared" si="7"/>
        <v>53100</v>
      </c>
    </row>
    <row r="69" spans="2:17" x14ac:dyDescent="0.3">
      <c r="B69" s="1">
        <v>55</v>
      </c>
      <c r="C69" s="2" t="s">
        <v>13</v>
      </c>
      <c r="D69" s="9" t="s">
        <v>46</v>
      </c>
      <c r="E69" s="3">
        <v>92.7</v>
      </c>
      <c r="F69" s="3" t="s">
        <v>36</v>
      </c>
      <c r="G69" s="3" t="s">
        <v>14</v>
      </c>
      <c r="H69" s="9" t="s">
        <v>404</v>
      </c>
      <c r="I69" s="9">
        <v>1</v>
      </c>
      <c r="J69" s="4">
        <v>15</v>
      </c>
      <c r="K69" s="4">
        <v>10</v>
      </c>
      <c r="L69" s="4">
        <v>30</v>
      </c>
      <c r="M69" s="5">
        <f t="shared" si="4"/>
        <v>4500</v>
      </c>
      <c r="N69" s="6">
        <v>8</v>
      </c>
      <c r="O69" s="7">
        <f t="shared" si="5"/>
        <v>36000</v>
      </c>
      <c r="P69" s="7">
        <f t="shared" si="6"/>
        <v>6480</v>
      </c>
      <c r="Q69" s="8">
        <f t="shared" si="7"/>
        <v>42480</v>
      </c>
    </row>
    <row r="70" spans="2:17" x14ac:dyDescent="0.3">
      <c r="B70" s="1">
        <v>56</v>
      </c>
      <c r="C70" s="2" t="s">
        <v>13</v>
      </c>
      <c r="D70" s="3" t="s">
        <v>44</v>
      </c>
      <c r="E70" s="3">
        <v>91.1</v>
      </c>
      <c r="F70" s="3" t="s">
        <v>37</v>
      </c>
      <c r="G70" s="3" t="s">
        <v>14</v>
      </c>
      <c r="H70" s="9" t="s">
        <v>15</v>
      </c>
      <c r="I70" s="9" t="s">
        <v>15</v>
      </c>
      <c r="J70" s="4">
        <v>15</v>
      </c>
      <c r="K70" s="4">
        <v>10</v>
      </c>
      <c r="L70" s="4">
        <v>30</v>
      </c>
      <c r="M70" s="5">
        <f t="shared" si="4"/>
        <v>4500</v>
      </c>
      <c r="N70" s="6">
        <v>9</v>
      </c>
      <c r="O70" s="7">
        <f t="shared" si="5"/>
        <v>40500</v>
      </c>
      <c r="P70" s="7">
        <f t="shared" si="6"/>
        <v>7290</v>
      </c>
      <c r="Q70" s="8">
        <f t="shared" si="7"/>
        <v>47790</v>
      </c>
    </row>
    <row r="71" spans="2:17" x14ac:dyDescent="0.3">
      <c r="B71" s="1">
        <v>57</v>
      </c>
      <c r="C71" s="2" t="s">
        <v>13</v>
      </c>
      <c r="D71" s="3" t="s">
        <v>53</v>
      </c>
      <c r="E71" s="3">
        <v>91.9</v>
      </c>
      <c r="F71" s="3" t="s">
        <v>37</v>
      </c>
      <c r="G71" s="3" t="s">
        <v>14</v>
      </c>
      <c r="H71" s="9" t="s">
        <v>15</v>
      </c>
      <c r="I71" s="9" t="s">
        <v>15</v>
      </c>
      <c r="J71" s="4">
        <v>15</v>
      </c>
      <c r="K71" s="4">
        <v>10</v>
      </c>
      <c r="L71" s="4">
        <v>30</v>
      </c>
      <c r="M71" s="5">
        <f t="shared" si="4"/>
        <v>4500</v>
      </c>
      <c r="N71" s="6">
        <v>10</v>
      </c>
      <c r="O71" s="7">
        <f t="shared" si="5"/>
        <v>45000</v>
      </c>
      <c r="P71" s="7">
        <f t="shared" si="6"/>
        <v>8100</v>
      </c>
      <c r="Q71" s="8">
        <f t="shared" si="7"/>
        <v>53100</v>
      </c>
    </row>
    <row r="72" spans="2:17" x14ac:dyDescent="0.3">
      <c r="B72" s="1">
        <v>58</v>
      </c>
      <c r="C72" s="2" t="s">
        <v>13</v>
      </c>
      <c r="D72" s="3" t="s">
        <v>47</v>
      </c>
      <c r="E72" s="3">
        <v>93.5</v>
      </c>
      <c r="F72" s="3" t="s">
        <v>37</v>
      </c>
      <c r="G72" s="3" t="s">
        <v>14</v>
      </c>
      <c r="H72" s="9" t="s">
        <v>15</v>
      </c>
      <c r="I72" s="9" t="s">
        <v>15</v>
      </c>
      <c r="J72" s="4">
        <v>15</v>
      </c>
      <c r="K72" s="4">
        <v>10</v>
      </c>
      <c r="L72" s="4">
        <v>30</v>
      </c>
      <c r="M72" s="5">
        <f t="shared" si="4"/>
        <v>4500</v>
      </c>
      <c r="N72" s="6">
        <v>11</v>
      </c>
      <c r="O72" s="7">
        <f t="shared" si="5"/>
        <v>49500</v>
      </c>
      <c r="P72" s="7">
        <f t="shared" si="6"/>
        <v>8910</v>
      </c>
      <c r="Q72" s="8">
        <f t="shared" si="7"/>
        <v>58410</v>
      </c>
    </row>
    <row r="73" spans="2:17" x14ac:dyDescent="0.3">
      <c r="B73" s="1">
        <v>59</v>
      </c>
      <c r="C73" s="2" t="s">
        <v>13</v>
      </c>
      <c r="D73" s="3" t="s">
        <v>40</v>
      </c>
      <c r="E73" s="3">
        <v>94.3</v>
      </c>
      <c r="F73" s="3" t="s">
        <v>37</v>
      </c>
      <c r="G73" s="3" t="s">
        <v>14</v>
      </c>
      <c r="H73" s="9" t="s">
        <v>15</v>
      </c>
      <c r="I73" s="9" t="s">
        <v>15</v>
      </c>
      <c r="J73" s="4">
        <v>15</v>
      </c>
      <c r="K73" s="4">
        <v>10</v>
      </c>
      <c r="L73" s="4">
        <v>30</v>
      </c>
      <c r="M73" s="5">
        <f t="shared" si="4"/>
        <v>4500</v>
      </c>
      <c r="N73" s="6">
        <v>12</v>
      </c>
      <c r="O73" s="7">
        <f t="shared" si="5"/>
        <v>54000</v>
      </c>
      <c r="P73" s="7">
        <f t="shared" si="6"/>
        <v>9720</v>
      </c>
      <c r="Q73" s="8">
        <f t="shared" si="7"/>
        <v>63720</v>
      </c>
    </row>
    <row r="74" spans="2:17" x14ac:dyDescent="0.3">
      <c r="B74" s="1">
        <v>60</v>
      </c>
      <c r="C74" s="2" t="s">
        <v>13</v>
      </c>
      <c r="D74" s="9" t="s">
        <v>46</v>
      </c>
      <c r="E74" s="3">
        <v>92.7</v>
      </c>
      <c r="F74" s="3" t="s">
        <v>37</v>
      </c>
      <c r="G74" s="3" t="s">
        <v>14</v>
      </c>
      <c r="H74" s="9" t="s">
        <v>15</v>
      </c>
      <c r="I74" s="9" t="s">
        <v>15</v>
      </c>
      <c r="J74" s="4">
        <v>15</v>
      </c>
      <c r="K74" s="4">
        <v>10</v>
      </c>
      <c r="L74" s="4">
        <v>30</v>
      </c>
      <c r="M74" s="5">
        <f t="shared" si="4"/>
        <v>4500</v>
      </c>
      <c r="N74" s="6">
        <v>8</v>
      </c>
      <c r="O74" s="7">
        <f t="shared" si="5"/>
        <v>36000</v>
      </c>
      <c r="P74" s="7">
        <f t="shared" si="6"/>
        <v>6480</v>
      </c>
      <c r="Q74" s="8">
        <f t="shared" si="7"/>
        <v>42480</v>
      </c>
    </row>
    <row r="75" spans="2:17" x14ac:dyDescent="0.3">
      <c r="B75" s="1">
        <v>61</v>
      </c>
      <c r="C75" s="2" t="s">
        <v>13</v>
      </c>
      <c r="D75" s="3" t="s">
        <v>41</v>
      </c>
      <c r="E75" s="3">
        <v>98.3</v>
      </c>
      <c r="F75" s="3" t="s">
        <v>37</v>
      </c>
      <c r="G75" s="3" t="s">
        <v>14</v>
      </c>
      <c r="H75" s="9" t="s">
        <v>15</v>
      </c>
      <c r="I75" s="9" t="s">
        <v>15</v>
      </c>
      <c r="J75" s="4">
        <v>15</v>
      </c>
      <c r="K75" s="4">
        <v>10</v>
      </c>
      <c r="L75" s="4">
        <v>30</v>
      </c>
      <c r="M75" s="5">
        <f t="shared" si="4"/>
        <v>4500</v>
      </c>
      <c r="N75" s="10">
        <v>12</v>
      </c>
      <c r="O75" s="7">
        <f t="shared" si="5"/>
        <v>54000</v>
      </c>
      <c r="P75" s="7">
        <f t="shared" si="6"/>
        <v>9720</v>
      </c>
      <c r="Q75" s="8">
        <f t="shared" si="7"/>
        <v>63720</v>
      </c>
    </row>
    <row r="76" spans="2:17" ht="16.2" thickBot="1" x14ac:dyDescent="0.35">
      <c r="B76" s="88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90"/>
    </row>
    <row r="77" spans="2:17" ht="15" thickBot="1" x14ac:dyDescent="0.35">
      <c r="B77" s="91" t="s">
        <v>16</v>
      </c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3"/>
    </row>
    <row r="78" spans="2:17" x14ac:dyDescent="0.3">
      <c r="B78" s="94" t="s">
        <v>17</v>
      </c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6"/>
    </row>
    <row r="79" spans="2:17" x14ac:dyDescent="0.3">
      <c r="B79" s="69" t="s">
        <v>18</v>
      </c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1"/>
    </row>
    <row r="80" spans="2:17" ht="15" thickBot="1" x14ac:dyDescent="0.35"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4"/>
    </row>
  </sheetData>
  <mergeCells count="7">
    <mergeCell ref="B79:Q79"/>
    <mergeCell ref="B80:Q80"/>
    <mergeCell ref="B1:Q11"/>
    <mergeCell ref="B12:Q12"/>
    <mergeCell ref="B76:Q76"/>
    <mergeCell ref="B77:Q77"/>
    <mergeCell ref="B78:Q7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617D-8AB1-459A-B460-94DFA5058C3A}">
  <dimension ref="B1:Q44"/>
  <sheetViews>
    <sheetView zoomScale="82" workbookViewId="0">
      <selection activeCell="J7" sqref="J7"/>
    </sheetView>
  </sheetViews>
  <sheetFormatPr defaultColWidth="8.77734375" defaultRowHeight="14.4" x14ac:dyDescent="0.3"/>
  <cols>
    <col min="3" max="3" width="15" customWidth="1"/>
    <col min="4" max="4" width="15" bestFit="1" customWidth="1"/>
    <col min="5" max="5" width="11.6640625" bestFit="1" customWidth="1"/>
    <col min="6" max="6" width="10.33203125" customWidth="1"/>
    <col min="7" max="7" width="14.6640625" customWidth="1"/>
    <col min="8" max="8" width="14" customWidth="1"/>
    <col min="9" max="9" width="6.44140625" customWidth="1"/>
    <col min="10" max="10" width="12.44140625" customWidth="1"/>
    <col min="11" max="11" width="14" customWidth="1"/>
    <col min="12" max="12" width="14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46</v>
      </c>
      <c r="E14" s="3">
        <v>92.7</v>
      </c>
      <c r="F14" s="3" t="s">
        <v>55</v>
      </c>
      <c r="G14" s="3" t="s">
        <v>54</v>
      </c>
      <c r="H14" s="3" t="s">
        <v>250</v>
      </c>
      <c r="I14" s="3">
        <v>1</v>
      </c>
      <c r="J14" s="4">
        <v>15</v>
      </c>
      <c r="K14" s="4">
        <v>10</v>
      </c>
      <c r="L14" s="4">
        <v>30</v>
      </c>
      <c r="M14" s="5">
        <f t="shared" ref="M14:M39" si="0">J14*K14*L14</f>
        <v>4500</v>
      </c>
      <c r="N14" s="6">
        <v>8</v>
      </c>
      <c r="O14" s="7">
        <f>N14*M14</f>
        <v>36000</v>
      </c>
      <c r="P14" s="7">
        <f>O14*18%</f>
        <v>6480</v>
      </c>
      <c r="Q14" s="8">
        <f>O14+P14</f>
        <v>42480</v>
      </c>
    </row>
    <row r="15" spans="2:17" x14ac:dyDescent="0.3">
      <c r="B15" s="1">
        <v>2</v>
      </c>
      <c r="C15" s="2" t="s">
        <v>13</v>
      </c>
      <c r="D15" s="3" t="s">
        <v>372</v>
      </c>
      <c r="E15" s="3">
        <v>94.3</v>
      </c>
      <c r="F15" s="3" t="s">
        <v>55</v>
      </c>
      <c r="G15" s="3" t="s">
        <v>54</v>
      </c>
      <c r="H15" s="3" t="s">
        <v>373</v>
      </c>
      <c r="I15" s="3">
        <v>2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9</v>
      </c>
      <c r="O15" s="7">
        <f t="shared" ref="O15:O39" si="1">N15*M15</f>
        <v>40500</v>
      </c>
      <c r="P15" s="7">
        <f t="shared" ref="P15:P39" si="2">O15*18%</f>
        <v>7290</v>
      </c>
      <c r="Q15" s="8">
        <f t="shared" ref="Q15:Q39" si="3">O15+P15</f>
        <v>47790</v>
      </c>
    </row>
    <row r="16" spans="2:17" x14ac:dyDescent="0.3">
      <c r="B16" s="1">
        <v>3</v>
      </c>
      <c r="C16" s="2" t="s">
        <v>13</v>
      </c>
      <c r="D16" s="3" t="s">
        <v>44</v>
      </c>
      <c r="E16" s="3">
        <v>104.8</v>
      </c>
      <c r="F16" s="3" t="s">
        <v>55</v>
      </c>
      <c r="G16" s="3" t="s">
        <v>54</v>
      </c>
      <c r="H16" s="3" t="s">
        <v>374</v>
      </c>
      <c r="I16" s="3">
        <v>3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6">
        <v>8</v>
      </c>
      <c r="O16" s="7">
        <f t="shared" si="1"/>
        <v>36000</v>
      </c>
      <c r="P16" s="7">
        <f t="shared" si="2"/>
        <v>6480</v>
      </c>
      <c r="Q16" s="8">
        <f t="shared" si="3"/>
        <v>42480</v>
      </c>
    </row>
    <row r="17" spans="2:17" x14ac:dyDescent="0.3">
      <c r="B17" s="1">
        <v>4</v>
      </c>
      <c r="C17" s="2" t="s">
        <v>13</v>
      </c>
      <c r="D17" s="3" t="s">
        <v>52</v>
      </c>
      <c r="E17" s="3">
        <v>106.4</v>
      </c>
      <c r="F17" s="3" t="s">
        <v>55</v>
      </c>
      <c r="G17" s="3" t="s">
        <v>54</v>
      </c>
      <c r="H17" s="9" t="s">
        <v>375</v>
      </c>
      <c r="I17" s="9">
        <v>4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8</v>
      </c>
      <c r="O17" s="7">
        <f t="shared" si="1"/>
        <v>36000</v>
      </c>
      <c r="P17" s="7">
        <f t="shared" si="2"/>
        <v>6480</v>
      </c>
      <c r="Q17" s="8">
        <f t="shared" si="3"/>
        <v>42480</v>
      </c>
    </row>
    <row r="18" spans="2:17" x14ac:dyDescent="0.3">
      <c r="B18" s="1">
        <v>5</v>
      </c>
      <c r="C18" s="2" t="s">
        <v>13</v>
      </c>
      <c r="D18" s="3" t="s">
        <v>44</v>
      </c>
      <c r="E18" s="3">
        <v>91.1</v>
      </c>
      <c r="F18" s="3" t="s">
        <v>56</v>
      </c>
      <c r="G18" s="3" t="s">
        <v>54</v>
      </c>
      <c r="H18" s="3" t="s">
        <v>376</v>
      </c>
      <c r="I18" s="3">
        <v>2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6">
        <v>7</v>
      </c>
      <c r="O18" s="7">
        <f t="shared" si="1"/>
        <v>31500</v>
      </c>
      <c r="P18" s="7">
        <f t="shared" si="2"/>
        <v>5670</v>
      </c>
      <c r="Q18" s="8">
        <f t="shared" si="3"/>
        <v>37170</v>
      </c>
    </row>
    <row r="19" spans="2:17" x14ac:dyDescent="0.3">
      <c r="B19" s="1">
        <v>6</v>
      </c>
      <c r="C19" s="2" t="s">
        <v>13</v>
      </c>
      <c r="D19" s="3" t="s">
        <v>46</v>
      </c>
      <c r="E19" s="3">
        <v>92.7</v>
      </c>
      <c r="F19" s="3" t="s">
        <v>56</v>
      </c>
      <c r="G19" s="3" t="s">
        <v>54</v>
      </c>
      <c r="H19" s="3" t="s">
        <v>377</v>
      </c>
      <c r="I19" s="3">
        <v>1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6">
        <v>7</v>
      </c>
      <c r="O19" s="7">
        <f t="shared" si="1"/>
        <v>31500</v>
      </c>
      <c r="P19" s="7">
        <f t="shared" si="2"/>
        <v>5670</v>
      </c>
      <c r="Q19" s="8">
        <f t="shared" si="3"/>
        <v>37170</v>
      </c>
    </row>
    <row r="20" spans="2:17" x14ac:dyDescent="0.3">
      <c r="B20" s="1">
        <v>7</v>
      </c>
      <c r="C20" s="2" t="s">
        <v>13</v>
      </c>
      <c r="D20" s="3" t="s">
        <v>372</v>
      </c>
      <c r="E20" s="3">
        <v>94.3</v>
      </c>
      <c r="F20" s="3" t="s">
        <v>56</v>
      </c>
      <c r="G20" s="3" t="s">
        <v>54</v>
      </c>
      <c r="H20" s="3" t="s">
        <v>15</v>
      </c>
      <c r="I20" s="3" t="s">
        <v>15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10">
        <v>8</v>
      </c>
      <c r="O20" s="7">
        <f t="shared" si="1"/>
        <v>36000</v>
      </c>
      <c r="P20" s="7">
        <f t="shared" si="2"/>
        <v>6480</v>
      </c>
      <c r="Q20" s="8">
        <f t="shared" si="3"/>
        <v>42480</v>
      </c>
    </row>
    <row r="21" spans="2:17" x14ac:dyDescent="0.3">
      <c r="B21" s="1">
        <v>8</v>
      </c>
      <c r="C21" s="2" t="s">
        <v>13</v>
      </c>
      <c r="D21" s="3" t="s">
        <v>52</v>
      </c>
      <c r="E21" s="12">
        <v>95</v>
      </c>
      <c r="F21" s="3" t="s">
        <v>56</v>
      </c>
      <c r="G21" s="3" t="s">
        <v>54</v>
      </c>
      <c r="H21" s="9" t="s">
        <v>15</v>
      </c>
      <c r="I21" s="9" t="s">
        <v>15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10">
        <v>8</v>
      </c>
      <c r="O21" s="7">
        <f t="shared" si="1"/>
        <v>36000</v>
      </c>
      <c r="P21" s="7">
        <f t="shared" si="2"/>
        <v>6480</v>
      </c>
      <c r="Q21" s="8">
        <f t="shared" si="3"/>
        <v>42480</v>
      </c>
    </row>
    <row r="22" spans="2:17" x14ac:dyDescent="0.3">
      <c r="B22" s="1">
        <v>9</v>
      </c>
      <c r="C22" s="2" t="s">
        <v>13</v>
      </c>
      <c r="D22" s="3" t="s">
        <v>44</v>
      </c>
      <c r="E22" s="3">
        <v>91.1</v>
      </c>
      <c r="F22" s="3" t="s">
        <v>57</v>
      </c>
      <c r="G22" s="3" t="s">
        <v>54</v>
      </c>
      <c r="H22" s="3" t="s">
        <v>378</v>
      </c>
      <c r="I22" s="3">
        <v>4</v>
      </c>
      <c r="J22" s="4">
        <v>15</v>
      </c>
      <c r="K22" s="4">
        <v>10</v>
      </c>
      <c r="L22" s="4">
        <v>30</v>
      </c>
      <c r="M22" s="5">
        <f t="shared" si="0"/>
        <v>4500</v>
      </c>
      <c r="N22" s="10">
        <v>10</v>
      </c>
      <c r="O22" s="7">
        <f t="shared" si="1"/>
        <v>45000</v>
      </c>
      <c r="P22" s="7">
        <f t="shared" si="2"/>
        <v>8100</v>
      </c>
      <c r="Q22" s="8">
        <f t="shared" si="3"/>
        <v>53100</v>
      </c>
    </row>
    <row r="23" spans="2:17" x14ac:dyDescent="0.3">
      <c r="B23" s="1">
        <v>10</v>
      </c>
      <c r="C23" s="2" t="s">
        <v>13</v>
      </c>
      <c r="D23" s="3" t="s">
        <v>42</v>
      </c>
      <c r="E23" s="3">
        <v>93.5</v>
      </c>
      <c r="F23" s="3" t="s">
        <v>57</v>
      </c>
      <c r="G23" s="3" t="s">
        <v>54</v>
      </c>
      <c r="H23" s="3" t="s">
        <v>379</v>
      </c>
      <c r="I23" s="3">
        <v>5</v>
      </c>
      <c r="J23" s="4">
        <v>15</v>
      </c>
      <c r="K23" s="4">
        <v>10</v>
      </c>
      <c r="L23" s="4">
        <v>30</v>
      </c>
      <c r="M23" s="5">
        <f t="shared" si="0"/>
        <v>4500</v>
      </c>
      <c r="N23" s="10">
        <v>12</v>
      </c>
      <c r="O23" s="7">
        <f t="shared" si="1"/>
        <v>54000</v>
      </c>
      <c r="P23" s="7">
        <f t="shared" si="2"/>
        <v>9720</v>
      </c>
      <c r="Q23" s="8">
        <f t="shared" si="3"/>
        <v>63720</v>
      </c>
    </row>
    <row r="24" spans="2:17" x14ac:dyDescent="0.3">
      <c r="B24" s="1">
        <v>11</v>
      </c>
      <c r="C24" s="2" t="s">
        <v>13</v>
      </c>
      <c r="D24" s="3" t="s">
        <v>372</v>
      </c>
      <c r="E24" s="3">
        <v>94.3</v>
      </c>
      <c r="F24" s="3" t="s">
        <v>57</v>
      </c>
      <c r="G24" s="3" t="s">
        <v>54</v>
      </c>
      <c r="H24" s="3" t="s">
        <v>380</v>
      </c>
      <c r="I24" s="3">
        <v>2</v>
      </c>
      <c r="J24" s="4">
        <v>15</v>
      </c>
      <c r="K24" s="4">
        <v>10</v>
      </c>
      <c r="L24" s="4">
        <v>30</v>
      </c>
      <c r="M24" s="5">
        <f t="shared" si="0"/>
        <v>4500</v>
      </c>
      <c r="N24" s="10">
        <v>20</v>
      </c>
      <c r="O24" s="7">
        <f t="shared" si="1"/>
        <v>90000</v>
      </c>
      <c r="P24" s="7">
        <f t="shared" si="2"/>
        <v>16200</v>
      </c>
      <c r="Q24" s="8">
        <f t="shared" si="3"/>
        <v>106200</v>
      </c>
    </row>
    <row r="25" spans="2:17" x14ac:dyDescent="0.3">
      <c r="B25" s="1">
        <v>12</v>
      </c>
      <c r="C25" s="2" t="s">
        <v>13</v>
      </c>
      <c r="D25" s="3" t="s">
        <v>52</v>
      </c>
      <c r="E25" s="12">
        <v>95</v>
      </c>
      <c r="F25" s="3" t="s">
        <v>57</v>
      </c>
      <c r="G25" s="3" t="s">
        <v>54</v>
      </c>
      <c r="H25" s="3" t="s">
        <v>381</v>
      </c>
      <c r="I25" s="3">
        <v>3</v>
      </c>
      <c r="J25" s="4">
        <v>15</v>
      </c>
      <c r="K25" s="4">
        <v>10</v>
      </c>
      <c r="L25" s="4">
        <v>30</v>
      </c>
      <c r="M25" s="5">
        <f t="shared" si="0"/>
        <v>4500</v>
      </c>
      <c r="N25" s="10">
        <v>20</v>
      </c>
      <c r="O25" s="7">
        <f t="shared" si="1"/>
        <v>90000</v>
      </c>
      <c r="P25" s="7">
        <f t="shared" si="2"/>
        <v>16200</v>
      </c>
      <c r="Q25" s="8">
        <f t="shared" si="3"/>
        <v>106200</v>
      </c>
    </row>
    <row r="26" spans="2:17" x14ac:dyDescent="0.3">
      <c r="B26" s="1">
        <v>13</v>
      </c>
      <c r="C26" s="2" t="s">
        <v>13</v>
      </c>
      <c r="D26" s="3" t="s">
        <v>120</v>
      </c>
      <c r="E26" s="3">
        <v>98.3</v>
      </c>
      <c r="F26" s="3" t="s">
        <v>57</v>
      </c>
      <c r="G26" s="3" t="s">
        <v>54</v>
      </c>
      <c r="H26" s="3" t="s">
        <v>382</v>
      </c>
      <c r="I26" s="3">
        <v>1</v>
      </c>
      <c r="J26" s="4">
        <v>15</v>
      </c>
      <c r="K26" s="4">
        <v>10</v>
      </c>
      <c r="L26" s="4">
        <v>30</v>
      </c>
      <c r="M26" s="5">
        <f t="shared" si="0"/>
        <v>4500</v>
      </c>
      <c r="N26" s="11">
        <v>16</v>
      </c>
      <c r="O26" s="7">
        <f t="shared" si="1"/>
        <v>72000</v>
      </c>
      <c r="P26" s="7">
        <f t="shared" si="2"/>
        <v>12960</v>
      </c>
      <c r="Q26" s="8">
        <f t="shared" si="3"/>
        <v>84960</v>
      </c>
    </row>
    <row r="27" spans="2:17" x14ac:dyDescent="0.3">
      <c r="B27" s="1">
        <v>14</v>
      </c>
      <c r="C27" s="2" t="s">
        <v>13</v>
      </c>
      <c r="D27" s="3" t="s">
        <v>53</v>
      </c>
      <c r="E27" s="12">
        <v>104</v>
      </c>
      <c r="F27" s="3" t="s">
        <v>57</v>
      </c>
      <c r="G27" s="3" t="s">
        <v>54</v>
      </c>
      <c r="H27" s="3" t="s">
        <v>220</v>
      </c>
      <c r="I27" s="3">
        <v>6</v>
      </c>
      <c r="J27" s="4">
        <v>15</v>
      </c>
      <c r="K27" s="4">
        <v>10</v>
      </c>
      <c r="L27" s="4">
        <v>30</v>
      </c>
      <c r="M27" s="5">
        <f t="shared" si="0"/>
        <v>4500</v>
      </c>
      <c r="N27" s="6">
        <v>13</v>
      </c>
      <c r="O27" s="7">
        <f t="shared" si="1"/>
        <v>58500</v>
      </c>
      <c r="P27" s="7">
        <f t="shared" si="2"/>
        <v>10530</v>
      </c>
      <c r="Q27" s="8">
        <f t="shared" si="3"/>
        <v>69030</v>
      </c>
    </row>
    <row r="28" spans="2:17" x14ac:dyDescent="0.3">
      <c r="B28" s="1">
        <v>15</v>
      </c>
      <c r="C28" s="2" t="s">
        <v>13</v>
      </c>
      <c r="D28" s="3" t="s">
        <v>46</v>
      </c>
      <c r="E28" s="3">
        <v>92.7</v>
      </c>
      <c r="F28" s="3" t="s">
        <v>58</v>
      </c>
      <c r="G28" s="3" t="s">
        <v>54</v>
      </c>
      <c r="H28" s="9" t="s">
        <v>246</v>
      </c>
      <c r="I28" s="9">
        <v>1</v>
      </c>
      <c r="J28" s="4">
        <v>15</v>
      </c>
      <c r="K28" s="4">
        <v>10</v>
      </c>
      <c r="L28" s="4">
        <v>30</v>
      </c>
      <c r="M28" s="5">
        <f t="shared" si="0"/>
        <v>4500</v>
      </c>
      <c r="N28" s="10">
        <v>8</v>
      </c>
      <c r="O28" s="7">
        <f t="shared" si="1"/>
        <v>36000</v>
      </c>
      <c r="P28" s="7">
        <f t="shared" si="2"/>
        <v>6480</v>
      </c>
      <c r="Q28" s="8">
        <f t="shared" si="3"/>
        <v>42480</v>
      </c>
    </row>
    <row r="29" spans="2:17" x14ac:dyDescent="0.3">
      <c r="B29" s="1">
        <v>16</v>
      </c>
      <c r="C29" s="2" t="s">
        <v>13</v>
      </c>
      <c r="D29" s="3" t="s">
        <v>42</v>
      </c>
      <c r="E29" s="3">
        <v>93.5</v>
      </c>
      <c r="F29" s="3" t="s">
        <v>58</v>
      </c>
      <c r="G29" s="3" t="s">
        <v>54</v>
      </c>
      <c r="H29" s="9" t="s">
        <v>383</v>
      </c>
      <c r="I29" s="9">
        <v>3</v>
      </c>
      <c r="J29" s="4">
        <v>15</v>
      </c>
      <c r="K29" s="4">
        <v>10</v>
      </c>
      <c r="L29" s="4">
        <v>30</v>
      </c>
      <c r="M29" s="5">
        <f t="shared" si="0"/>
        <v>4500</v>
      </c>
      <c r="N29" s="10">
        <v>8</v>
      </c>
      <c r="O29" s="7">
        <f t="shared" si="1"/>
        <v>36000</v>
      </c>
      <c r="P29" s="7">
        <f t="shared" si="2"/>
        <v>6480</v>
      </c>
      <c r="Q29" s="8">
        <f t="shared" si="3"/>
        <v>42480</v>
      </c>
    </row>
    <row r="30" spans="2:17" x14ac:dyDescent="0.3">
      <c r="B30" s="1">
        <v>17</v>
      </c>
      <c r="C30" s="2" t="s">
        <v>13</v>
      </c>
      <c r="D30" s="3" t="s">
        <v>372</v>
      </c>
      <c r="E30" s="3">
        <v>94.3</v>
      </c>
      <c r="F30" s="3" t="s">
        <v>58</v>
      </c>
      <c r="G30" s="3" t="s">
        <v>54</v>
      </c>
      <c r="H30" s="9" t="s">
        <v>194</v>
      </c>
      <c r="I30" s="9">
        <v>2</v>
      </c>
      <c r="J30" s="4">
        <v>15</v>
      </c>
      <c r="K30" s="4">
        <v>10</v>
      </c>
      <c r="L30" s="4">
        <v>30</v>
      </c>
      <c r="M30" s="5">
        <f t="shared" si="0"/>
        <v>4500</v>
      </c>
      <c r="N30" s="6">
        <v>7</v>
      </c>
      <c r="O30" s="7">
        <f t="shared" si="1"/>
        <v>31500</v>
      </c>
      <c r="P30" s="7">
        <f t="shared" si="2"/>
        <v>5670</v>
      </c>
      <c r="Q30" s="8">
        <f t="shared" si="3"/>
        <v>37170</v>
      </c>
    </row>
    <row r="31" spans="2:17" x14ac:dyDescent="0.3">
      <c r="B31" s="1">
        <v>18</v>
      </c>
      <c r="C31" s="2" t="s">
        <v>13</v>
      </c>
      <c r="D31" s="3" t="s">
        <v>120</v>
      </c>
      <c r="E31" s="3">
        <v>98.3</v>
      </c>
      <c r="F31" s="3" t="s">
        <v>58</v>
      </c>
      <c r="G31" s="3" t="s">
        <v>54</v>
      </c>
      <c r="H31" s="9" t="s">
        <v>105</v>
      </c>
      <c r="I31" s="9">
        <v>4</v>
      </c>
      <c r="J31" s="4">
        <v>15</v>
      </c>
      <c r="K31" s="4">
        <v>10</v>
      </c>
      <c r="L31" s="4">
        <v>30</v>
      </c>
      <c r="M31" s="5">
        <f t="shared" ref="M31" si="4">J31*K31*L31</f>
        <v>4500</v>
      </c>
      <c r="N31" s="6"/>
      <c r="O31" s="7">
        <f t="shared" ref="O31" si="5">N31*M31</f>
        <v>0</v>
      </c>
      <c r="P31" s="7">
        <f t="shared" ref="P31" si="6">O31*18%</f>
        <v>0</v>
      </c>
      <c r="Q31" s="8">
        <f t="shared" ref="Q31" si="7">O31+P31</f>
        <v>0</v>
      </c>
    </row>
    <row r="32" spans="2:17" x14ac:dyDescent="0.3">
      <c r="B32" s="1">
        <v>19</v>
      </c>
      <c r="C32" s="2" t="s">
        <v>13</v>
      </c>
      <c r="D32" s="3" t="s">
        <v>44</v>
      </c>
      <c r="E32" s="3">
        <v>91.1</v>
      </c>
      <c r="F32" s="3" t="s">
        <v>59</v>
      </c>
      <c r="G32" s="3" t="s">
        <v>54</v>
      </c>
      <c r="H32" s="3" t="s">
        <v>265</v>
      </c>
      <c r="I32" s="3">
        <v>4</v>
      </c>
      <c r="J32" s="4">
        <v>15</v>
      </c>
      <c r="K32" s="4">
        <v>10</v>
      </c>
      <c r="L32" s="4">
        <v>30</v>
      </c>
      <c r="M32" s="5">
        <f t="shared" si="0"/>
        <v>4500</v>
      </c>
      <c r="N32" s="10">
        <v>7</v>
      </c>
      <c r="O32" s="7">
        <f t="shared" si="1"/>
        <v>31500</v>
      </c>
      <c r="P32" s="7">
        <f t="shared" si="2"/>
        <v>5670</v>
      </c>
      <c r="Q32" s="8">
        <f t="shared" si="3"/>
        <v>37170</v>
      </c>
    </row>
    <row r="33" spans="2:17" x14ac:dyDescent="0.3">
      <c r="B33" s="1">
        <v>20</v>
      </c>
      <c r="C33" s="2" t="s">
        <v>13</v>
      </c>
      <c r="D33" s="3" t="s">
        <v>46</v>
      </c>
      <c r="E33" s="3">
        <v>92.7</v>
      </c>
      <c r="F33" s="3" t="s">
        <v>59</v>
      </c>
      <c r="G33" s="3" t="s">
        <v>54</v>
      </c>
      <c r="H33" s="3" t="s">
        <v>384</v>
      </c>
      <c r="I33" s="3">
        <v>1</v>
      </c>
      <c r="J33" s="4">
        <v>15</v>
      </c>
      <c r="K33" s="4">
        <v>10</v>
      </c>
      <c r="L33" s="4">
        <v>30</v>
      </c>
      <c r="M33" s="5">
        <f t="shared" si="0"/>
        <v>4500</v>
      </c>
      <c r="N33" s="6">
        <v>7</v>
      </c>
      <c r="O33" s="7">
        <f t="shared" si="1"/>
        <v>31500</v>
      </c>
      <c r="P33" s="7">
        <f t="shared" si="2"/>
        <v>5670</v>
      </c>
      <c r="Q33" s="8">
        <f t="shared" si="3"/>
        <v>37170</v>
      </c>
    </row>
    <row r="34" spans="2:17" x14ac:dyDescent="0.3">
      <c r="B34" s="1">
        <v>21</v>
      </c>
      <c r="C34" s="2" t="s">
        <v>13</v>
      </c>
      <c r="D34" s="3" t="s">
        <v>372</v>
      </c>
      <c r="E34" s="3">
        <v>94.3</v>
      </c>
      <c r="F34" s="3" t="s">
        <v>59</v>
      </c>
      <c r="G34" s="3" t="s">
        <v>54</v>
      </c>
      <c r="H34" s="3" t="s">
        <v>174</v>
      </c>
      <c r="I34" s="3">
        <v>2</v>
      </c>
      <c r="J34" s="4">
        <v>15</v>
      </c>
      <c r="K34" s="4">
        <v>10</v>
      </c>
      <c r="L34" s="4">
        <v>30</v>
      </c>
      <c r="M34" s="5">
        <f t="shared" si="0"/>
        <v>4500</v>
      </c>
      <c r="N34" s="6">
        <v>7</v>
      </c>
      <c r="O34" s="7">
        <f t="shared" si="1"/>
        <v>31500</v>
      </c>
      <c r="P34" s="7">
        <f t="shared" si="2"/>
        <v>5670</v>
      </c>
      <c r="Q34" s="8">
        <f t="shared" si="3"/>
        <v>37170</v>
      </c>
    </row>
    <row r="35" spans="2:17" x14ac:dyDescent="0.3">
      <c r="B35" s="1">
        <v>22</v>
      </c>
      <c r="C35" s="2" t="s">
        <v>13</v>
      </c>
      <c r="D35" s="3" t="s">
        <v>52</v>
      </c>
      <c r="E35" s="12">
        <v>95</v>
      </c>
      <c r="F35" s="3" t="s">
        <v>59</v>
      </c>
      <c r="G35" s="3" t="s">
        <v>54</v>
      </c>
      <c r="H35" s="3" t="s">
        <v>385</v>
      </c>
      <c r="I35" s="3">
        <v>3</v>
      </c>
      <c r="J35" s="4">
        <v>15</v>
      </c>
      <c r="K35" s="4">
        <v>10</v>
      </c>
      <c r="L35" s="4">
        <v>30</v>
      </c>
      <c r="M35" s="5">
        <f t="shared" si="0"/>
        <v>4500</v>
      </c>
      <c r="N35" s="6">
        <v>10</v>
      </c>
      <c r="O35" s="7">
        <f t="shared" si="1"/>
        <v>45000</v>
      </c>
      <c r="P35" s="7">
        <f t="shared" si="2"/>
        <v>8100</v>
      </c>
      <c r="Q35" s="8">
        <f t="shared" si="3"/>
        <v>53100</v>
      </c>
    </row>
    <row r="36" spans="2:17" x14ac:dyDescent="0.3">
      <c r="B36" s="1">
        <v>23</v>
      </c>
      <c r="C36" s="2" t="s">
        <v>13</v>
      </c>
      <c r="D36" s="3" t="s">
        <v>44</v>
      </c>
      <c r="E36" s="3">
        <v>91.9</v>
      </c>
      <c r="F36" s="3" t="s">
        <v>60</v>
      </c>
      <c r="G36" s="3" t="s">
        <v>54</v>
      </c>
      <c r="H36" s="3" t="s">
        <v>15</v>
      </c>
      <c r="I36" s="3" t="s">
        <v>15</v>
      </c>
      <c r="J36" s="4">
        <v>15</v>
      </c>
      <c r="K36" s="4">
        <v>10</v>
      </c>
      <c r="L36" s="4">
        <v>30</v>
      </c>
      <c r="M36" s="5">
        <f t="shared" si="0"/>
        <v>4500</v>
      </c>
      <c r="N36" s="6">
        <v>8</v>
      </c>
      <c r="O36" s="7">
        <f t="shared" si="1"/>
        <v>36000</v>
      </c>
      <c r="P36" s="7">
        <f t="shared" si="2"/>
        <v>6480</v>
      </c>
      <c r="Q36" s="8">
        <f t="shared" si="3"/>
        <v>42480</v>
      </c>
    </row>
    <row r="37" spans="2:17" x14ac:dyDescent="0.3">
      <c r="B37" s="1">
        <v>24</v>
      </c>
      <c r="C37" s="2" t="s">
        <v>13</v>
      </c>
      <c r="D37" s="3" t="s">
        <v>46</v>
      </c>
      <c r="E37" s="3">
        <v>92.7</v>
      </c>
      <c r="F37" s="3" t="s">
        <v>60</v>
      </c>
      <c r="G37" s="3" t="s">
        <v>54</v>
      </c>
      <c r="H37" s="3" t="s">
        <v>15</v>
      </c>
      <c r="I37" s="3" t="s">
        <v>15</v>
      </c>
      <c r="J37" s="4">
        <v>15</v>
      </c>
      <c r="K37" s="4">
        <v>10</v>
      </c>
      <c r="L37" s="4">
        <v>30</v>
      </c>
      <c r="M37" s="5">
        <f t="shared" si="0"/>
        <v>4500</v>
      </c>
      <c r="N37" s="6">
        <v>9</v>
      </c>
      <c r="O37" s="7">
        <f t="shared" si="1"/>
        <v>40500</v>
      </c>
      <c r="P37" s="7">
        <f t="shared" si="2"/>
        <v>7290</v>
      </c>
      <c r="Q37" s="8">
        <f t="shared" si="3"/>
        <v>47790</v>
      </c>
    </row>
    <row r="38" spans="2:17" x14ac:dyDescent="0.3">
      <c r="B38" s="1">
        <v>25</v>
      </c>
      <c r="C38" s="2" t="s">
        <v>13</v>
      </c>
      <c r="D38" s="3" t="s">
        <v>372</v>
      </c>
      <c r="E38" s="3">
        <v>94.3</v>
      </c>
      <c r="F38" s="3" t="s">
        <v>60</v>
      </c>
      <c r="G38" s="3" t="s">
        <v>54</v>
      </c>
      <c r="H38" s="3" t="s">
        <v>15</v>
      </c>
      <c r="I38" s="3" t="s">
        <v>15</v>
      </c>
      <c r="J38" s="4">
        <v>15</v>
      </c>
      <c r="K38" s="4">
        <v>10</v>
      </c>
      <c r="L38" s="4">
        <v>30</v>
      </c>
      <c r="M38" s="5">
        <f t="shared" si="0"/>
        <v>4500</v>
      </c>
      <c r="N38" s="6">
        <v>10</v>
      </c>
      <c r="O38" s="7">
        <f t="shared" si="1"/>
        <v>45000</v>
      </c>
      <c r="P38" s="7">
        <f t="shared" si="2"/>
        <v>8100</v>
      </c>
      <c r="Q38" s="8">
        <f t="shared" si="3"/>
        <v>53100</v>
      </c>
    </row>
    <row r="39" spans="2:17" x14ac:dyDescent="0.3">
      <c r="B39" s="1">
        <v>26</v>
      </c>
      <c r="C39" s="2" t="s">
        <v>13</v>
      </c>
      <c r="D39" s="3" t="s">
        <v>52</v>
      </c>
      <c r="E39" s="12">
        <v>95</v>
      </c>
      <c r="F39" s="3" t="s">
        <v>60</v>
      </c>
      <c r="G39" s="3" t="s">
        <v>54</v>
      </c>
      <c r="H39" s="3" t="s">
        <v>15</v>
      </c>
      <c r="I39" s="3" t="s">
        <v>15</v>
      </c>
      <c r="J39" s="4">
        <v>15</v>
      </c>
      <c r="K39" s="4">
        <v>10</v>
      </c>
      <c r="L39" s="4">
        <v>30</v>
      </c>
      <c r="M39" s="5">
        <f t="shared" si="0"/>
        <v>4500</v>
      </c>
      <c r="N39" s="6">
        <v>10</v>
      </c>
      <c r="O39" s="7">
        <f t="shared" si="1"/>
        <v>45000</v>
      </c>
      <c r="P39" s="7">
        <f t="shared" si="2"/>
        <v>8100</v>
      </c>
      <c r="Q39" s="8">
        <f t="shared" si="3"/>
        <v>53100</v>
      </c>
    </row>
    <row r="40" spans="2:17" ht="16.2" thickBot="1" x14ac:dyDescent="0.35">
      <c r="B40" s="88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90"/>
    </row>
    <row r="41" spans="2:17" ht="15" thickBot="1" x14ac:dyDescent="0.35">
      <c r="B41" s="91" t="s">
        <v>16</v>
      </c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</row>
    <row r="42" spans="2:17" x14ac:dyDescent="0.3">
      <c r="B42" s="94" t="s">
        <v>17</v>
      </c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</row>
    <row r="43" spans="2:17" x14ac:dyDescent="0.3">
      <c r="B43" s="69" t="s">
        <v>18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1"/>
    </row>
    <row r="44" spans="2:17" ht="15" thickBot="1" x14ac:dyDescent="0.35">
      <c r="B44" s="72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4"/>
    </row>
  </sheetData>
  <mergeCells count="6">
    <mergeCell ref="B44:Q44"/>
    <mergeCell ref="B12:Q12"/>
    <mergeCell ref="B40:Q40"/>
    <mergeCell ref="B41:Q41"/>
    <mergeCell ref="B42:Q42"/>
    <mergeCell ref="B43:Q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0F6E-333C-4F4E-B0E7-D6830B615761}">
  <dimension ref="B1:Q57"/>
  <sheetViews>
    <sheetView zoomScale="79" workbookViewId="0">
      <selection activeCell="I5" sqref="I5"/>
    </sheetView>
  </sheetViews>
  <sheetFormatPr defaultColWidth="8.77734375" defaultRowHeight="14.4" x14ac:dyDescent="0.3"/>
  <cols>
    <col min="3" max="3" width="16.33203125" bestFit="1" customWidth="1"/>
    <col min="4" max="4" width="18.44140625" customWidth="1"/>
    <col min="5" max="5" width="11.6640625" bestFit="1" customWidth="1"/>
    <col min="6" max="6" width="11.109375" customWidth="1"/>
    <col min="7" max="8" width="14.6640625" customWidth="1"/>
    <col min="9" max="9" width="7" customWidth="1"/>
    <col min="10" max="10" width="12.44140625" customWidth="1"/>
    <col min="11" max="11" width="14" customWidth="1"/>
    <col min="12" max="12" width="14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44</v>
      </c>
      <c r="E14" s="3">
        <v>91.9</v>
      </c>
      <c r="F14" s="3" t="s">
        <v>337</v>
      </c>
      <c r="G14" s="9" t="s">
        <v>61</v>
      </c>
      <c r="H14" s="9" t="s">
        <v>94</v>
      </c>
      <c r="I14" s="9">
        <v>2</v>
      </c>
      <c r="J14" s="4">
        <v>15</v>
      </c>
      <c r="K14" s="4">
        <v>10</v>
      </c>
      <c r="L14" s="4">
        <v>30</v>
      </c>
      <c r="M14" s="5">
        <f t="shared" ref="M14:M52" si="0">J14*K14*L14</f>
        <v>4500</v>
      </c>
      <c r="N14" s="6">
        <v>10</v>
      </c>
      <c r="O14" s="7">
        <f>N14*M14</f>
        <v>45000</v>
      </c>
      <c r="P14" s="7">
        <f>O14*18%</f>
        <v>8100</v>
      </c>
      <c r="Q14" s="8">
        <f>O14+P14</f>
        <v>53100</v>
      </c>
    </row>
    <row r="15" spans="2:17" x14ac:dyDescent="0.3">
      <c r="B15" s="1">
        <v>2</v>
      </c>
      <c r="C15" s="2" t="s">
        <v>13</v>
      </c>
      <c r="D15" s="3" t="s">
        <v>46</v>
      </c>
      <c r="E15" s="3">
        <v>92.7</v>
      </c>
      <c r="F15" s="3" t="s">
        <v>337</v>
      </c>
      <c r="G15" s="9" t="s">
        <v>61</v>
      </c>
      <c r="H15" s="9" t="s">
        <v>173</v>
      </c>
      <c r="I15" s="9">
        <v>1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8</v>
      </c>
      <c r="O15" s="7">
        <f t="shared" ref="O15:O52" si="1">N15*M15</f>
        <v>36000</v>
      </c>
      <c r="P15" s="7">
        <f t="shared" ref="P15:P52" si="2">O15*18%</f>
        <v>6480</v>
      </c>
      <c r="Q15" s="8">
        <f t="shared" ref="Q15:Q52" si="3">O15+P15</f>
        <v>42480</v>
      </c>
    </row>
    <row r="16" spans="2:17" x14ac:dyDescent="0.3">
      <c r="B16" s="1">
        <v>3</v>
      </c>
      <c r="C16" s="2" t="s">
        <v>13</v>
      </c>
      <c r="D16" s="3" t="s">
        <v>162</v>
      </c>
      <c r="E16" s="3">
        <v>93.7</v>
      </c>
      <c r="F16" s="3" t="s">
        <v>337</v>
      </c>
      <c r="G16" s="9" t="s">
        <v>61</v>
      </c>
      <c r="H16" s="9" t="s">
        <v>304</v>
      </c>
      <c r="I16" s="9">
        <v>4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6">
        <v>8</v>
      </c>
      <c r="O16" s="7">
        <f t="shared" si="1"/>
        <v>36000</v>
      </c>
      <c r="P16" s="7">
        <f t="shared" si="2"/>
        <v>6480</v>
      </c>
      <c r="Q16" s="8">
        <f t="shared" si="3"/>
        <v>42480</v>
      </c>
    </row>
    <row r="17" spans="2:17" x14ac:dyDescent="0.3">
      <c r="B17" s="1">
        <v>4</v>
      </c>
      <c r="C17" s="2" t="s">
        <v>13</v>
      </c>
      <c r="D17" s="3" t="s">
        <v>52</v>
      </c>
      <c r="E17" s="3">
        <v>94.5</v>
      </c>
      <c r="F17" s="3" t="s">
        <v>337</v>
      </c>
      <c r="G17" s="9" t="s">
        <v>61</v>
      </c>
      <c r="H17" s="9" t="s">
        <v>346</v>
      </c>
      <c r="I17" s="9">
        <v>3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8</v>
      </c>
      <c r="O17" s="7">
        <f t="shared" si="1"/>
        <v>36000</v>
      </c>
      <c r="P17" s="7">
        <f t="shared" si="2"/>
        <v>6480</v>
      </c>
      <c r="Q17" s="8">
        <f t="shared" si="3"/>
        <v>42480</v>
      </c>
    </row>
    <row r="18" spans="2:17" x14ac:dyDescent="0.3">
      <c r="B18" s="1">
        <v>5</v>
      </c>
      <c r="C18" s="2" t="s">
        <v>13</v>
      </c>
      <c r="D18" s="3" t="s">
        <v>46</v>
      </c>
      <c r="E18" s="3">
        <v>92.7</v>
      </c>
      <c r="F18" s="3" t="s">
        <v>338</v>
      </c>
      <c r="G18" s="9" t="s">
        <v>61</v>
      </c>
      <c r="H18" s="9" t="s">
        <v>347</v>
      </c>
      <c r="I18" s="9" t="s">
        <v>15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6">
        <v>8</v>
      </c>
      <c r="O18" s="7">
        <f t="shared" si="1"/>
        <v>36000</v>
      </c>
      <c r="P18" s="7">
        <f t="shared" si="2"/>
        <v>6480</v>
      </c>
      <c r="Q18" s="8">
        <f t="shared" si="3"/>
        <v>42480</v>
      </c>
    </row>
    <row r="19" spans="2:17" x14ac:dyDescent="0.3">
      <c r="B19" s="1">
        <v>6</v>
      </c>
      <c r="C19" s="2" t="s">
        <v>13</v>
      </c>
      <c r="D19" s="3" t="s">
        <v>162</v>
      </c>
      <c r="E19" s="3">
        <v>94.9</v>
      </c>
      <c r="F19" s="3" t="s">
        <v>338</v>
      </c>
      <c r="G19" s="9" t="s">
        <v>61</v>
      </c>
      <c r="H19" s="9" t="s">
        <v>15</v>
      </c>
      <c r="I19" s="9" t="s">
        <v>15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6">
        <v>8</v>
      </c>
      <c r="O19" s="7">
        <f t="shared" si="1"/>
        <v>36000</v>
      </c>
      <c r="P19" s="7">
        <f t="shared" si="2"/>
        <v>6480</v>
      </c>
      <c r="Q19" s="8">
        <f t="shared" si="3"/>
        <v>42480</v>
      </c>
    </row>
    <row r="20" spans="2:17" x14ac:dyDescent="0.3">
      <c r="B20" s="1">
        <v>7</v>
      </c>
      <c r="C20" s="2" t="s">
        <v>13</v>
      </c>
      <c r="D20" s="3" t="s">
        <v>52</v>
      </c>
      <c r="E20" s="3">
        <v>104.6</v>
      </c>
      <c r="F20" s="3" t="s">
        <v>338</v>
      </c>
      <c r="G20" s="9" t="s">
        <v>61</v>
      </c>
      <c r="H20" s="9" t="s">
        <v>15</v>
      </c>
      <c r="I20" s="9" t="s">
        <v>15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10">
        <v>8</v>
      </c>
      <c r="O20" s="7">
        <f t="shared" si="1"/>
        <v>36000</v>
      </c>
      <c r="P20" s="7">
        <f t="shared" si="2"/>
        <v>6480</v>
      </c>
      <c r="Q20" s="8">
        <f t="shared" si="3"/>
        <v>42480</v>
      </c>
    </row>
    <row r="21" spans="2:17" x14ac:dyDescent="0.3">
      <c r="B21" s="1">
        <v>9</v>
      </c>
      <c r="C21" s="2" t="s">
        <v>13</v>
      </c>
      <c r="D21" s="3" t="s">
        <v>47</v>
      </c>
      <c r="E21" s="3">
        <v>93.5</v>
      </c>
      <c r="F21" s="3" t="s">
        <v>339</v>
      </c>
      <c r="G21" s="9" t="s">
        <v>61</v>
      </c>
      <c r="H21" s="9" t="s">
        <v>366</v>
      </c>
      <c r="I21" s="9">
        <v>1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10">
        <v>10</v>
      </c>
      <c r="O21" s="7">
        <f t="shared" si="1"/>
        <v>45000</v>
      </c>
      <c r="P21" s="7">
        <f t="shared" si="2"/>
        <v>8100</v>
      </c>
      <c r="Q21" s="8">
        <f t="shared" si="3"/>
        <v>53100</v>
      </c>
    </row>
    <row r="22" spans="2:17" x14ac:dyDescent="0.3">
      <c r="B22" s="1">
        <v>10</v>
      </c>
      <c r="C22" s="2" t="s">
        <v>13</v>
      </c>
      <c r="D22" s="3" t="s">
        <v>162</v>
      </c>
      <c r="E22" s="3">
        <v>94.3</v>
      </c>
      <c r="F22" s="3" t="s">
        <v>339</v>
      </c>
      <c r="G22" s="9" t="s">
        <v>61</v>
      </c>
      <c r="H22" s="9" t="s">
        <v>133</v>
      </c>
      <c r="I22" s="9">
        <v>3</v>
      </c>
      <c r="J22" s="4">
        <v>15</v>
      </c>
      <c r="K22" s="4">
        <v>10</v>
      </c>
      <c r="L22" s="4">
        <v>30</v>
      </c>
      <c r="M22" s="5">
        <f t="shared" si="0"/>
        <v>4500</v>
      </c>
      <c r="N22" s="10">
        <v>8</v>
      </c>
      <c r="O22" s="7">
        <f t="shared" si="1"/>
        <v>36000</v>
      </c>
      <c r="P22" s="7">
        <f t="shared" si="2"/>
        <v>6480</v>
      </c>
      <c r="Q22" s="8">
        <f t="shared" si="3"/>
        <v>42480</v>
      </c>
    </row>
    <row r="23" spans="2:17" x14ac:dyDescent="0.3">
      <c r="B23" s="1">
        <v>11</v>
      </c>
      <c r="C23" s="2" t="s">
        <v>13</v>
      </c>
      <c r="D23" s="3" t="s">
        <v>52</v>
      </c>
      <c r="E23" s="3">
        <v>106.4</v>
      </c>
      <c r="F23" s="3" t="s">
        <v>339</v>
      </c>
      <c r="G23" s="9" t="s">
        <v>61</v>
      </c>
      <c r="H23" s="9" t="s">
        <v>94</v>
      </c>
      <c r="I23" s="9">
        <v>2</v>
      </c>
      <c r="J23" s="4">
        <v>15</v>
      </c>
      <c r="K23" s="4">
        <v>10</v>
      </c>
      <c r="L23" s="4">
        <v>30</v>
      </c>
      <c r="M23" s="5">
        <f t="shared" si="0"/>
        <v>4500</v>
      </c>
      <c r="N23" s="10">
        <v>8</v>
      </c>
      <c r="O23" s="7">
        <f t="shared" si="1"/>
        <v>36000</v>
      </c>
      <c r="P23" s="7">
        <f t="shared" si="2"/>
        <v>6480</v>
      </c>
      <c r="Q23" s="8">
        <f t="shared" si="3"/>
        <v>42480</v>
      </c>
    </row>
    <row r="24" spans="2:17" x14ac:dyDescent="0.3">
      <c r="B24" s="1">
        <v>12</v>
      </c>
      <c r="C24" s="2" t="s">
        <v>13</v>
      </c>
      <c r="D24" s="3" t="s">
        <v>46</v>
      </c>
      <c r="E24" s="3">
        <v>92.7</v>
      </c>
      <c r="F24" s="3" t="s">
        <v>339</v>
      </c>
      <c r="G24" s="9" t="s">
        <v>61</v>
      </c>
      <c r="H24" s="9" t="s">
        <v>367</v>
      </c>
      <c r="I24" s="9">
        <v>4</v>
      </c>
      <c r="J24" s="4">
        <v>15</v>
      </c>
      <c r="K24" s="4">
        <v>10</v>
      </c>
      <c r="L24" s="4">
        <v>30</v>
      </c>
      <c r="M24" s="5">
        <f t="shared" si="0"/>
        <v>4500</v>
      </c>
      <c r="N24" s="10">
        <v>8</v>
      </c>
      <c r="O24" s="7">
        <f t="shared" si="1"/>
        <v>36000</v>
      </c>
      <c r="P24" s="7">
        <f t="shared" si="2"/>
        <v>6480</v>
      </c>
      <c r="Q24" s="8">
        <f t="shared" si="3"/>
        <v>42480</v>
      </c>
    </row>
    <row r="25" spans="2:17" x14ac:dyDescent="0.3">
      <c r="B25" s="1">
        <v>13</v>
      </c>
      <c r="C25" s="2" t="s">
        <v>13</v>
      </c>
      <c r="D25" s="3" t="s">
        <v>52</v>
      </c>
      <c r="E25" s="3">
        <v>91.1</v>
      </c>
      <c r="F25" s="3" t="s">
        <v>340</v>
      </c>
      <c r="G25" s="9" t="s">
        <v>61</v>
      </c>
      <c r="H25" s="9" t="s">
        <v>348</v>
      </c>
      <c r="I25" s="9">
        <v>3</v>
      </c>
      <c r="J25" s="4">
        <v>15</v>
      </c>
      <c r="K25" s="4">
        <v>10</v>
      </c>
      <c r="L25" s="4">
        <v>30</v>
      </c>
      <c r="M25" s="5">
        <f t="shared" si="0"/>
        <v>4500</v>
      </c>
      <c r="N25" s="10">
        <v>8</v>
      </c>
      <c r="O25" s="7">
        <f t="shared" si="1"/>
        <v>36000</v>
      </c>
      <c r="P25" s="7">
        <f t="shared" si="2"/>
        <v>6480</v>
      </c>
      <c r="Q25" s="8">
        <f t="shared" si="3"/>
        <v>42480</v>
      </c>
    </row>
    <row r="26" spans="2:17" x14ac:dyDescent="0.3">
      <c r="B26" s="1">
        <v>14</v>
      </c>
      <c r="C26" s="2" t="s">
        <v>13</v>
      </c>
      <c r="D26" s="3" t="s">
        <v>44</v>
      </c>
      <c r="E26" s="3">
        <v>91.9</v>
      </c>
      <c r="F26" s="3" t="s">
        <v>340</v>
      </c>
      <c r="G26" s="9" t="s">
        <v>61</v>
      </c>
      <c r="H26" s="9" t="s">
        <v>349</v>
      </c>
      <c r="I26" s="9">
        <v>2</v>
      </c>
      <c r="J26" s="4">
        <v>15</v>
      </c>
      <c r="K26" s="4">
        <v>10</v>
      </c>
      <c r="L26" s="4">
        <v>30</v>
      </c>
      <c r="M26" s="5">
        <f t="shared" si="0"/>
        <v>4500</v>
      </c>
      <c r="N26" s="11">
        <v>9</v>
      </c>
      <c r="O26" s="7">
        <f t="shared" si="1"/>
        <v>40500</v>
      </c>
      <c r="P26" s="7">
        <f t="shared" si="2"/>
        <v>7290</v>
      </c>
      <c r="Q26" s="8">
        <f t="shared" si="3"/>
        <v>47790</v>
      </c>
    </row>
    <row r="27" spans="2:17" x14ac:dyDescent="0.3">
      <c r="B27" s="1">
        <v>15</v>
      </c>
      <c r="C27" s="2" t="s">
        <v>13</v>
      </c>
      <c r="D27" s="3" t="s">
        <v>46</v>
      </c>
      <c r="E27" s="3">
        <v>92.7</v>
      </c>
      <c r="F27" s="3" t="s">
        <v>340</v>
      </c>
      <c r="G27" s="9" t="s">
        <v>61</v>
      </c>
      <c r="H27" s="9" t="s">
        <v>350</v>
      </c>
      <c r="I27" s="9">
        <v>1</v>
      </c>
      <c r="J27" s="4">
        <v>15</v>
      </c>
      <c r="K27" s="4">
        <v>10</v>
      </c>
      <c r="L27" s="4">
        <v>30</v>
      </c>
      <c r="M27" s="5">
        <f t="shared" si="0"/>
        <v>4500</v>
      </c>
      <c r="N27" s="6">
        <v>7</v>
      </c>
      <c r="O27" s="7">
        <f t="shared" si="1"/>
        <v>31500</v>
      </c>
      <c r="P27" s="7">
        <f t="shared" si="2"/>
        <v>5670</v>
      </c>
      <c r="Q27" s="8">
        <f t="shared" si="3"/>
        <v>37170</v>
      </c>
    </row>
    <row r="28" spans="2:17" x14ac:dyDescent="0.3">
      <c r="B28" s="1">
        <v>16</v>
      </c>
      <c r="C28" s="2" t="s">
        <v>13</v>
      </c>
      <c r="D28" s="3" t="s">
        <v>162</v>
      </c>
      <c r="E28" s="3">
        <v>94.3</v>
      </c>
      <c r="F28" s="3" t="s">
        <v>340</v>
      </c>
      <c r="G28" s="9" t="s">
        <v>61</v>
      </c>
      <c r="H28" s="9" t="s">
        <v>351</v>
      </c>
      <c r="I28" s="9">
        <v>4</v>
      </c>
      <c r="J28" s="4">
        <v>15</v>
      </c>
      <c r="K28" s="4">
        <v>10</v>
      </c>
      <c r="L28" s="4">
        <v>30</v>
      </c>
      <c r="M28" s="5">
        <f t="shared" si="0"/>
        <v>4500</v>
      </c>
      <c r="N28" s="10">
        <v>7</v>
      </c>
      <c r="O28" s="7">
        <f t="shared" si="1"/>
        <v>31500</v>
      </c>
      <c r="P28" s="7">
        <f t="shared" si="2"/>
        <v>5670</v>
      </c>
      <c r="Q28" s="8">
        <f t="shared" si="3"/>
        <v>37170</v>
      </c>
    </row>
    <row r="29" spans="2:17" x14ac:dyDescent="0.3">
      <c r="B29" s="1">
        <v>17</v>
      </c>
      <c r="C29" s="2" t="s">
        <v>13</v>
      </c>
      <c r="D29" s="3" t="s">
        <v>52</v>
      </c>
      <c r="E29" s="3">
        <v>91.1</v>
      </c>
      <c r="F29" s="3" t="s">
        <v>341</v>
      </c>
      <c r="G29" s="9" t="s">
        <v>61</v>
      </c>
      <c r="H29" s="9" t="s">
        <v>352</v>
      </c>
      <c r="I29" s="9">
        <v>4</v>
      </c>
      <c r="J29" s="4">
        <v>15</v>
      </c>
      <c r="K29" s="4">
        <v>10</v>
      </c>
      <c r="L29" s="4">
        <v>30</v>
      </c>
      <c r="M29" s="5">
        <f t="shared" si="0"/>
        <v>4500</v>
      </c>
      <c r="N29" s="10">
        <v>7</v>
      </c>
      <c r="O29" s="7">
        <f t="shared" si="1"/>
        <v>31500</v>
      </c>
      <c r="P29" s="7">
        <f t="shared" si="2"/>
        <v>5670</v>
      </c>
      <c r="Q29" s="8">
        <f t="shared" si="3"/>
        <v>37170</v>
      </c>
    </row>
    <row r="30" spans="2:17" x14ac:dyDescent="0.3">
      <c r="B30" s="1">
        <v>18</v>
      </c>
      <c r="C30" s="2" t="s">
        <v>13</v>
      </c>
      <c r="D30" s="3" t="s">
        <v>44</v>
      </c>
      <c r="E30" s="3">
        <v>91.9</v>
      </c>
      <c r="F30" s="3" t="s">
        <v>341</v>
      </c>
      <c r="G30" s="9" t="s">
        <v>61</v>
      </c>
      <c r="H30" s="9" t="s">
        <v>272</v>
      </c>
      <c r="I30" s="9">
        <v>1</v>
      </c>
      <c r="J30" s="4">
        <v>15</v>
      </c>
      <c r="K30" s="4">
        <v>10</v>
      </c>
      <c r="L30" s="4">
        <v>30</v>
      </c>
      <c r="M30" s="5">
        <f t="shared" si="0"/>
        <v>4500</v>
      </c>
      <c r="N30" s="6">
        <v>5</v>
      </c>
      <c r="O30" s="7">
        <f t="shared" si="1"/>
        <v>22500</v>
      </c>
      <c r="P30" s="7">
        <f t="shared" si="2"/>
        <v>4050</v>
      </c>
      <c r="Q30" s="8">
        <f t="shared" si="3"/>
        <v>26550</v>
      </c>
    </row>
    <row r="31" spans="2:17" x14ac:dyDescent="0.3">
      <c r="B31" s="1">
        <v>19</v>
      </c>
      <c r="C31" s="2" t="s">
        <v>13</v>
      </c>
      <c r="D31" s="3" t="s">
        <v>46</v>
      </c>
      <c r="E31" s="3">
        <v>92.7</v>
      </c>
      <c r="F31" s="3" t="s">
        <v>341</v>
      </c>
      <c r="G31" s="9" t="s">
        <v>61</v>
      </c>
      <c r="H31" s="9" t="s">
        <v>225</v>
      </c>
      <c r="I31" s="9">
        <v>2</v>
      </c>
      <c r="J31" s="4">
        <v>15</v>
      </c>
      <c r="K31" s="4">
        <v>10</v>
      </c>
      <c r="L31" s="4">
        <v>30</v>
      </c>
      <c r="M31" s="5">
        <f t="shared" si="0"/>
        <v>4500</v>
      </c>
      <c r="N31" s="10">
        <v>8</v>
      </c>
      <c r="O31" s="7">
        <f t="shared" si="1"/>
        <v>36000</v>
      </c>
      <c r="P31" s="7">
        <f t="shared" si="2"/>
        <v>6480</v>
      </c>
      <c r="Q31" s="8">
        <f t="shared" si="3"/>
        <v>42480</v>
      </c>
    </row>
    <row r="32" spans="2:17" x14ac:dyDescent="0.3">
      <c r="B32" s="1">
        <v>20</v>
      </c>
      <c r="C32" s="2" t="s">
        <v>13</v>
      </c>
      <c r="D32" s="3" t="s">
        <v>162</v>
      </c>
      <c r="E32" s="3">
        <v>94.3</v>
      </c>
      <c r="F32" s="3" t="s">
        <v>341</v>
      </c>
      <c r="G32" s="9" t="s">
        <v>61</v>
      </c>
      <c r="H32" s="9" t="s">
        <v>353</v>
      </c>
      <c r="I32" s="9">
        <v>3</v>
      </c>
      <c r="J32" s="4">
        <v>15</v>
      </c>
      <c r="K32" s="4">
        <v>10</v>
      </c>
      <c r="L32" s="4">
        <v>30</v>
      </c>
      <c r="M32" s="5">
        <f t="shared" si="0"/>
        <v>4500</v>
      </c>
      <c r="N32" s="6">
        <v>8</v>
      </c>
      <c r="O32" s="7">
        <f t="shared" si="1"/>
        <v>36000</v>
      </c>
      <c r="P32" s="7">
        <f t="shared" si="2"/>
        <v>6480</v>
      </c>
      <c r="Q32" s="8">
        <f t="shared" si="3"/>
        <v>42480</v>
      </c>
    </row>
    <row r="33" spans="2:17" x14ac:dyDescent="0.3">
      <c r="B33" s="1">
        <v>21</v>
      </c>
      <c r="C33" s="2" t="s">
        <v>13</v>
      </c>
      <c r="D33" s="3" t="s">
        <v>52</v>
      </c>
      <c r="E33" s="3">
        <v>91.1</v>
      </c>
      <c r="F33" s="3" t="s">
        <v>342</v>
      </c>
      <c r="G33" s="9" t="s">
        <v>61</v>
      </c>
      <c r="H33" s="9" t="s">
        <v>15</v>
      </c>
      <c r="I33" s="9" t="s">
        <v>15</v>
      </c>
      <c r="J33" s="4">
        <v>15</v>
      </c>
      <c r="K33" s="4">
        <v>10</v>
      </c>
      <c r="L33" s="4">
        <v>30</v>
      </c>
      <c r="M33" s="5">
        <f t="shared" si="0"/>
        <v>4500</v>
      </c>
      <c r="N33" s="6">
        <v>7</v>
      </c>
      <c r="O33" s="7">
        <f t="shared" si="1"/>
        <v>31500</v>
      </c>
      <c r="P33" s="7">
        <f t="shared" si="2"/>
        <v>5670</v>
      </c>
      <c r="Q33" s="8">
        <f t="shared" si="3"/>
        <v>37170</v>
      </c>
    </row>
    <row r="34" spans="2:17" x14ac:dyDescent="0.3">
      <c r="B34" s="1">
        <v>22</v>
      </c>
      <c r="C34" s="2" t="s">
        <v>13</v>
      </c>
      <c r="D34" s="3" t="s">
        <v>46</v>
      </c>
      <c r="E34" s="3">
        <v>92.7</v>
      </c>
      <c r="F34" s="3" t="s">
        <v>342</v>
      </c>
      <c r="G34" s="9" t="s">
        <v>61</v>
      </c>
      <c r="H34" s="9" t="s">
        <v>354</v>
      </c>
      <c r="I34" s="9" t="s">
        <v>15</v>
      </c>
      <c r="J34" s="4">
        <v>15</v>
      </c>
      <c r="K34" s="4">
        <v>10</v>
      </c>
      <c r="L34" s="4">
        <v>30</v>
      </c>
      <c r="M34" s="5">
        <f t="shared" si="0"/>
        <v>4500</v>
      </c>
      <c r="N34" s="6">
        <v>7</v>
      </c>
      <c r="O34" s="7">
        <f t="shared" si="1"/>
        <v>31500</v>
      </c>
      <c r="P34" s="7">
        <f t="shared" si="2"/>
        <v>5670</v>
      </c>
      <c r="Q34" s="8">
        <f t="shared" si="3"/>
        <v>37170</v>
      </c>
    </row>
    <row r="35" spans="2:17" x14ac:dyDescent="0.3">
      <c r="B35" s="1">
        <v>23</v>
      </c>
      <c r="C35" s="2" t="s">
        <v>13</v>
      </c>
      <c r="D35" s="3" t="s">
        <v>120</v>
      </c>
      <c r="E35" s="3">
        <v>104.8</v>
      </c>
      <c r="F35" s="3" t="s">
        <v>342</v>
      </c>
      <c r="G35" s="9" t="s">
        <v>61</v>
      </c>
      <c r="H35" s="9" t="s">
        <v>355</v>
      </c>
      <c r="I35" s="9" t="s">
        <v>15</v>
      </c>
      <c r="J35" s="4">
        <v>15</v>
      </c>
      <c r="K35" s="4">
        <v>10</v>
      </c>
      <c r="L35" s="4">
        <v>30</v>
      </c>
      <c r="M35" s="5">
        <f t="shared" si="0"/>
        <v>4500</v>
      </c>
      <c r="N35" s="6">
        <v>15</v>
      </c>
      <c r="O35" s="7">
        <f t="shared" si="1"/>
        <v>67500</v>
      </c>
      <c r="P35" s="7">
        <f t="shared" si="2"/>
        <v>12150</v>
      </c>
      <c r="Q35" s="8">
        <f t="shared" si="3"/>
        <v>79650</v>
      </c>
    </row>
    <row r="36" spans="2:17" x14ac:dyDescent="0.3">
      <c r="B36" s="1">
        <v>24</v>
      </c>
      <c r="C36" s="2" t="s">
        <v>13</v>
      </c>
      <c r="D36" s="3" t="s">
        <v>47</v>
      </c>
      <c r="E36" s="3">
        <v>106.4</v>
      </c>
      <c r="F36" s="3" t="s">
        <v>342</v>
      </c>
      <c r="G36" s="9" t="s">
        <v>61</v>
      </c>
      <c r="H36" s="9" t="s">
        <v>15</v>
      </c>
      <c r="I36" s="9" t="s">
        <v>15</v>
      </c>
      <c r="J36" s="4">
        <v>15</v>
      </c>
      <c r="K36" s="4">
        <v>10</v>
      </c>
      <c r="L36" s="4">
        <v>30</v>
      </c>
      <c r="M36" s="5">
        <f t="shared" si="0"/>
        <v>4500</v>
      </c>
      <c r="N36" s="6">
        <v>10</v>
      </c>
      <c r="O36" s="7">
        <f t="shared" si="1"/>
        <v>45000</v>
      </c>
      <c r="P36" s="7">
        <f t="shared" si="2"/>
        <v>8100</v>
      </c>
      <c r="Q36" s="8">
        <f t="shared" si="3"/>
        <v>53100</v>
      </c>
    </row>
    <row r="37" spans="2:17" x14ac:dyDescent="0.3">
      <c r="B37" s="1">
        <v>25</v>
      </c>
      <c r="C37" s="2" t="s">
        <v>13</v>
      </c>
      <c r="D37" s="3" t="s">
        <v>53</v>
      </c>
      <c r="E37" s="3">
        <v>91.9</v>
      </c>
      <c r="F37" s="3" t="s">
        <v>343</v>
      </c>
      <c r="G37" s="9" t="s">
        <v>61</v>
      </c>
      <c r="H37" s="9" t="s">
        <v>356</v>
      </c>
      <c r="I37" s="9">
        <v>4</v>
      </c>
      <c r="J37" s="4">
        <v>15</v>
      </c>
      <c r="K37" s="4">
        <v>10</v>
      </c>
      <c r="L37" s="4">
        <v>30</v>
      </c>
      <c r="M37" s="5">
        <f t="shared" si="0"/>
        <v>4500</v>
      </c>
      <c r="N37" s="6">
        <v>11</v>
      </c>
      <c r="O37" s="7">
        <f t="shared" si="1"/>
        <v>49500</v>
      </c>
      <c r="P37" s="7">
        <f t="shared" si="2"/>
        <v>8910</v>
      </c>
      <c r="Q37" s="8">
        <f t="shared" si="3"/>
        <v>58410</v>
      </c>
    </row>
    <row r="38" spans="2:17" x14ac:dyDescent="0.3">
      <c r="B38" s="1">
        <v>26</v>
      </c>
      <c r="C38" s="2" t="s">
        <v>13</v>
      </c>
      <c r="D38" s="3" t="s">
        <v>46</v>
      </c>
      <c r="E38" s="3">
        <v>92.7</v>
      </c>
      <c r="F38" s="3" t="s">
        <v>343</v>
      </c>
      <c r="G38" s="9" t="s">
        <v>61</v>
      </c>
      <c r="H38" s="9" t="s">
        <v>357</v>
      </c>
      <c r="I38" s="9">
        <v>3</v>
      </c>
      <c r="J38" s="4">
        <v>15</v>
      </c>
      <c r="K38" s="4">
        <v>10</v>
      </c>
      <c r="L38" s="4">
        <v>30</v>
      </c>
      <c r="M38" s="5">
        <f t="shared" si="0"/>
        <v>4500</v>
      </c>
      <c r="N38" s="6">
        <v>10</v>
      </c>
      <c r="O38" s="7">
        <f t="shared" si="1"/>
        <v>45000</v>
      </c>
      <c r="P38" s="7">
        <f t="shared" si="2"/>
        <v>8100</v>
      </c>
      <c r="Q38" s="8">
        <f t="shared" si="3"/>
        <v>53100</v>
      </c>
    </row>
    <row r="39" spans="2:17" x14ac:dyDescent="0.3">
      <c r="B39" s="1">
        <v>27</v>
      </c>
      <c r="C39" s="2" t="s">
        <v>13</v>
      </c>
      <c r="D39" s="3" t="s">
        <v>47</v>
      </c>
      <c r="E39" s="3">
        <v>93.5</v>
      </c>
      <c r="F39" s="3" t="s">
        <v>343</v>
      </c>
      <c r="G39" s="9" t="s">
        <v>61</v>
      </c>
      <c r="H39" s="9" t="s">
        <v>358</v>
      </c>
      <c r="I39" s="9">
        <v>2</v>
      </c>
      <c r="J39" s="4">
        <v>15</v>
      </c>
      <c r="K39" s="4">
        <v>10</v>
      </c>
      <c r="L39" s="4">
        <v>30</v>
      </c>
      <c r="M39" s="5">
        <f t="shared" si="0"/>
        <v>4500</v>
      </c>
      <c r="N39" s="6">
        <v>11</v>
      </c>
      <c r="O39" s="7">
        <f t="shared" si="1"/>
        <v>49500</v>
      </c>
      <c r="P39" s="7">
        <f t="shared" si="2"/>
        <v>8910</v>
      </c>
      <c r="Q39" s="8">
        <f t="shared" si="3"/>
        <v>58410</v>
      </c>
    </row>
    <row r="40" spans="2:17" x14ac:dyDescent="0.3">
      <c r="B40" s="1">
        <v>28</v>
      </c>
      <c r="C40" s="2" t="s">
        <v>13</v>
      </c>
      <c r="D40" s="3" t="s">
        <v>162</v>
      </c>
      <c r="E40" s="12">
        <v>95</v>
      </c>
      <c r="F40" s="3" t="s">
        <v>343</v>
      </c>
      <c r="G40" s="9" t="s">
        <v>61</v>
      </c>
      <c r="H40" s="9" t="s">
        <v>359</v>
      </c>
      <c r="I40" s="9">
        <v>5</v>
      </c>
      <c r="J40" s="4">
        <v>15</v>
      </c>
      <c r="K40" s="4">
        <v>10</v>
      </c>
      <c r="L40" s="4">
        <v>30</v>
      </c>
      <c r="M40" s="5">
        <f t="shared" si="0"/>
        <v>4500</v>
      </c>
      <c r="N40" s="6">
        <v>10</v>
      </c>
      <c r="O40" s="7">
        <f t="shared" si="1"/>
        <v>45000</v>
      </c>
      <c r="P40" s="7">
        <f t="shared" si="2"/>
        <v>8100</v>
      </c>
      <c r="Q40" s="8">
        <f t="shared" si="3"/>
        <v>53100</v>
      </c>
    </row>
    <row r="41" spans="2:17" x14ac:dyDescent="0.3">
      <c r="B41" s="1">
        <v>29</v>
      </c>
      <c r="C41" s="2" t="s">
        <v>13</v>
      </c>
      <c r="D41" s="3" t="s">
        <v>120</v>
      </c>
      <c r="E41" s="3">
        <v>98.3</v>
      </c>
      <c r="F41" s="3" t="s">
        <v>343</v>
      </c>
      <c r="G41" s="9" t="s">
        <v>61</v>
      </c>
      <c r="H41" s="9" t="s">
        <v>360</v>
      </c>
      <c r="I41" s="9">
        <v>1</v>
      </c>
      <c r="J41" s="4">
        <v>15</v>
      </c>
      <c r="K41" s="4">
        <v>10</v>
      </c>
      <c r="L41" s="4">
        <v>30</v>
      </c>
      <c r="M41" s="5">
        <f t="shared" si="0"/>
        <v>4500</v>
      </c>
      <c r="N41" s="6">
        <v>15</v>
      </c>
      <c r="O41" s="7">
        <f t="shared" si="1"/>
        <v>67500</v>
      </c>
      <c r="P41" s="7">
        <f t="shared" si="2"/>
        <v>12150</v>
      </c>
      <c r="Q41" s="8">
        <f t="shared" si="3"/>
        <v>79650</v>
      </c>
    </row>
    <row r="42" spans="2:17" x14ac:dyDescent="0.3">
      <c r="B42" s="1">
        <v>30</v>
      </c>
      <c r="C42" s="2" t="s">
        <v>13</v>
      </c>
      <c r="D42" s="3" t="s">
        <v>44</v>
      </c>
      <c r="E42" s="3">
        <v>104.8</v>
      </c>
      <c r="F42" s="3" t="s">
        <v>343</v>
      </c>
      <c r="G42" s="9" t="s">
        <v>61</v>
      </c>
      <c r="H42" s="9" t="s">
        <v>361</v>
      </c>
      <c r="I42" s="9">
        <v>6</v>
      </c>
      <c r="J42" s="4">
        <v>15</v>
      </c>
      <c r="K42" s="4">
        <v>10</v>
      </c>
      <c r="L42" s="4">
        <v>30</v>
      </c>
      <c r="M42" s="5">
        <f t="shared" si="0"/>
        <v>4500</v>
      </c>
      <c r="N42" s="6">
        <v>10</v>
      </c>
      <c r="O42" s="7">
        <f t="shared" si="1"/>
        <v>45000</v>
      </c>
      <c r="P42" s="7">
        <f t="shared" si="2"/>
        <v>8100</v>
      </c>
      <c r="Q42" s="8">
        <f t="shared" si="3"/>
        <v>53100</v>
      </c>
    </row>
    <row r="43" spans="2:17" x14ac:dyDescent="0.3">
      <c r="B43" s="1">
        <v>31</v>
      </c>
      <c r="C43" s="2" t="s">
        <v>13</v>
      </c>
      <c r="D43" s="3" t="s">
        <v>44</v>
      </c>
      <c r="E43" s="3">
        <v>91.9</v>
      </c>
      <c r="F43" s="3" t="s">
        <v>344</v>
      </c>
      <c r="G43" s="9" t="s">
        <v>61</v>
      </c>
      <c r="H43" s="9" t="s">
        <v>362</v>
      </c>
      <c r="I43" s="9">
        <v>2</v>
      </c>
      <c r="J43" s="4">
        <v>15</v>
      </c>
      <c r="K43" s="4">
        <v>10</v>
      </c>
      <c r="L43" s="4">
        <v>30</v>
      </c>
      <c r="M43" s="5">
        <f t="shared" si="0"/>
        <v>4500</v>
      </c>
      <c r="N43" s="6">
        <v>10</v>
      </c>
      <c r="O43" s="7">
        <f t="shared" si="1"/>
        <v>45000</v>
      </c>
      <c r="P43" s="7">
        <f t="shared" si="2"/>
        <v>8100</v>
      </c>
      <c r="Q43" s="8">
        <f t="shared" si="3"/>
        <v>53100</v>
      </c>
    </row>
    <row r="44" spans="2:17" x14ac:dyDescent="0.3">
      <c r="B44" s="1">
        <v>32</v>
      </c>
      <c r="C44" s="2" t="s">
        <v>13</v>
      </c>
      <c r="D44" s="3" t="s">
        <v>47</v>
      </c>
      <c r="E44" s="3">
        <v>93.5</v>
      </c>
      <c r="F44" s="3" t="s">
        <v>344</v>
      </c>
      <c r="G44" s="9" t="s">
        <v>61</v>
      </c>
      <c r="H44" s="9" t="s">
        <v>363</v>
      </c>
      <c r="I44" s="9">
        <v>3</v>
      </c>
      <c r="J44" s="4">
        <v>15</v>
      </c>
      <c r="K44" s="4">
        <v>10</v>
      </c>
      <c r="L44" s="4">
        <v>30</v>
      </c>
      <c r="M44" s="5">
        <f t="shared" si="0"/>
        <v>4500</v>
      </c>
      <c r="N44" s="22">
        <v>9</v>
      </c>
      <c r="O44" s="7">
        <f t="shared" si="1"/>
        <v>40500</v>
      </c>
      <c r="P44" s="7">
        <f t="shared" si="2"/>
        <v>7290</v>
      </c>
      <c r="Q44" s="8">
        <f t="shared" si="3"/>
        <v>47790</v>
      </c>
    </row>
    <row r="45" spans="2:17" x14ac:dyDescent="0.3">
      <c r="B45" s="1">
        <v>33</v>
      </c>
      <c r="C45" s="2" t="s">
        <v>13</v>
      </c>
      <c r="D45" s="3" t="s">
        <v>46</v>
      </c>
      <c r="E45" s="3">
        <v>94.3</v>
      </c>
      <c r="F45" s="3" t="s">
        <v>344</v>
      </c>
      <c r="G45" s="9" t="s">
        <v>61</v>
      </c>
      <c r="H45" s="9" t="s">
        <v>364</v>
      </c>
      <c r="I45" s="9">
        <v>6</v>
      </c>
      <c r="J45" s="4">
        <v>15</v>
      </c>
      <c r="K45" s="4">
        <v>10</v>
      </c>
      <c r="L45" s="4">
        <v>30</v>
      </c>
      <c r="M45" s="5">
        <f t="shared" si="0"/>
        <v>4500</v>
      </c>
      <c r="N45" s="22">
        <v>8</v>
      </c>
      <c r="O45" s="7">
        <f t="shared" si="1"/>
        <v>36000</v>
      </c>
      <c r="P45" s="7">
        <f t="shared" si="2"/>
        <v>6480</v>
      </c>
      <c r="Q45" s="8">
        <f t="shared" si="3"/>
        <v>42480</v>
      </c>
    </row>
    <row r="46" spans="2:17" x14ac:dyDescent="0.3">
      <c r="B46" s="1">
        <v>34</v>
      </c>
      <c r="C46" s="2" t="s">
        <v>13</v>
      </c>
      <c r="D46" s="3" t="s">
        <v>120</v>
      </c>
      <c r="E46" s="3">
        <v>98.3</v>
      </c>
      <c r="F46" s="3" t="s">
        <v>344</v>
      </c>
      <c r="G46" s="9" t="s">
        <v>61</v>
      </c>
      <c r="H46" s="9" t="s">
        <v>365</v>
      </c>
      <c r="I46" s="9">
        <v>1</v>
      </c>
      <c r="J46" s="4">
        <v>15</v>
      </c>
      <c r="K46" s="4">
        <v>10</v>
      </c>
      <c r="L46" s="4">
        <v>30</v>
      </c>
      <c r="M46" s="5">
        <f t="shared" si="0"/>
        <v>4500</v>
      </c>
      <c r="N46" s="6">
        <v>11</v>
      </c>
      <c r="O46" s="7">
        <f t="shared" si="1"/>
        <v>49500</v>
      </c>
      <c r="P46" s="7">
        <f t="shared" si="2"/>
        <v>8910</v>
      </c>
      <c r="Q46" s="8">
        <f t="shared" si="3"/>
        <v>58410</v>
      </c>
    </row>
    <row r="47" spans="2:17" x14ac:dyDescent="0.3">
      <c r="B47" s="1">
        <v>35</v>
      </c>
      <c r="C47" s="2" t="s">
        <v>13</v>
      </c>
      <c r="D47" s="3" t="s">
        <v>162</v>
      </c>
      <c r="E47" s="12">
        <v>104</v>
      </c>
      <c r="F47" s="3" t="s">
        <v>344</v>
      </c>
      <c r="G47" s="9" t="s">
        <v>61</v>
      </c>
      <c r="H47" s="9" t="s">
        <v>366</v>
      </c>
      <c r="I47" s="9">
        <v>4</v>
      </c>
      <c r="J47" s="4">
        <v>15</v>
      </c>
      <c r="K47" s="4">
        <v>10</v>
      </c>
      <c r="L47" s="4">
        <v>30</v>
      </c>
      <c r="M47" s="5">
        <f t="shared" si="0"/>
        <v>4500</v>
      </c>
      <c r="N47" s="6">
        <v>10</v>
      </c>
      <c r="O47" s="7">
        <f t="shared" si="1"/>
        <v>45000</v>
      </c>
      <c r="P47" s="7">
        <f t="shared" si="2"/>
        <v>8100</v>
      </c>
      <c r="Q47" s="8">
        <f t="shared" si="3"/>
        <v>53100</v>
      </c>
    </row>
    <row r="48" spans="2:17" x14ac:dyDescent="0.3">
      <c r="B48" s="1">
        <v>36</v>
      </c>
      <c r="C48" s="2" t="s">
        <v>13</v>
      </c>
      <c r="D48" s="3" t="s">
        <v>53</v>
      </c>
      <c r="E48" s="3">
        <v>107.2</v>
      </c>
      <c r="F48" s="3" t="s">
        <v>344</v>
      </c>
      <c r="G48" s="9" t="s">
        <v>61</v>
      </c>
      <c r="H48" s="9" t="s">
        <v>112</v>
      </c>
      <c r="I48" s="9">
        <v>5</v>
      </c>
      <c r="J48" s="4">
        <v>15</v>
      </c>
      <c r="K48" s="4">
        <v>10</v>
      </c>
      <c r="L48" s="4">
        <v>30</v>
      </c>
      <c r="M48" s="5">
        <f t="shared" si="0"/>
        <v>4500</v>
      </c>
      <c r="N48" s="6">
        <v>9</v>
      </c>
      <c r="O48" s="7">
        <f t="shared" si="1"/>
        <v>40500</v>
      </c>
      <c r="P48" s="7">
        <f t="shared" si="2"/>
        <v>7290</v>
      </c>
      <c r="Q48" s="8">
        <f t="shared" si="3"/>
        <v>47790</v>
      </c>
    </row>
    <row r="49" spans="2:17" x14ac:dyDescent="0.3">
      <c r="B49" s="1">
        <v>37</v>
      </c>
      <c r="C49" s="2" t="s">
        <v>13</v>
      </c>
      <c r="D49" s="3" t="s">
        <v>44</v>
      </c>
      <c r="E49" s="3">
        <v>91.9</v>
      </c>
      <c r="F49" s="3" t="s">
        <v>345</v>
      </c>
      <c r="G49" s="9" t="s">
        <v>61</v>
      </c>
      <c r="H49" s="9" t="s">
        <v>368</v>
      </c>
      <c r="I49" s="9">
        <v>3</v>
      </c>
      <c r="J49" s="4">
        <v>15</v>
      </c>
      <c r="K49" s="4">
        <v>10</v>
      </c>
      <c r="L49" s="4">
        <v>30</v>
      </c>
      <c r="M49" s="5">
        <f t="shared" si="0"/>
        <v>4500</v>
      </c>
      <c r="N49" s="6">
        <v>9</v>
      </c>
      <c r="O49" s="7">
        <f t="shared" si="1"/>
        <v>40500</v>
      </c>
      <c r="P49" s="7">
        <f t="shared" si="2"/>
        <v>7290</v>
      </c>
      <c r="Q49" s="8">
        <f t="shared" si="3"/>
        <v>47790</v>
      </c>
    </row>
    <row r="50" spans="2:17" x14ac:dyDescent="0.3">
      <c r="B50" s="1">
        <v>38</v>
      </c>
      <c r="C50" s="2" t="s">
        <v>13</v>
      </c>
      <c r="D50" s="3" t="s">
        <v>47</v>
      </c>
      <c r="E50" s="3">
        <v>93.5</v>
      </c>
      <c r="F50" s="3" t="s">
        <v>345</v>
      </c>
      <c r="G50" s="9" t="s">
        <v>61</v>
      </c>
      <c r="H50" s="9" t="s">
        <v>369</v>
      </c>
      <c r="I50" s="9">
        <v>2</v>
      </c>
      <c r="J50" s="4">
        <v>15</v>
      </c>
      <c r="K50" s="4">
        <v>10</v>
      </c>
      <c r="L50" s="4">
        <v>30</v>
      </c>
      <c r="M50" s="5">
        <f t="shared" si="0"/>
        <v>4500</v>
      </c>
      <c r="N50" s="6">
        <v>10</v>
      </c>
      <c r="O50" s="7">
        <f t="shared" si="1"/>
        <v>45000</v>
      </c>
      <c r="P50" s="7">
        <f t="shared" si="2"/>
        <v>8100</v>
      </c>
      <c r="Q50" s="8">
        <f t="shared" si="3"/>
        <v>53100</v>
      </c>
    </row>
    <row r="51" spans="2:17" x14ac:dyDescent="0.3">
      <c r="B51" s="1">
        <v>39</v>
      </c>
      <c r="C51" s="2" t="s">
        <v>13</v>
      </c>
      <c r="D51" s="3" t="s">
        <v>46</v>
      </c>
      <c r="E51" s="12">
        <v>95</v>
      </c>
      <c r="F51" s="3" t="s">
        <v>345</v>
      </c>
      <c r="G51" s="9" t="s">
        <v>61</v>
      </c>
      <c r="H51" s="9" t="s">
        <v>370</v>
      </c>
      <c r="I51" s="9">
        <v>4</v>
      </c>
      <c r="J51" s="4">
        <v>15</v>
      </c>
      <c r="K51" s="4">
        <v>10</v>
      </c>
      <c r="L51" s="4">
        <v>30</v>
      </c>
      <c r="M51" s="5">
        <f t="shared" si="0"/>
        <v>4500</v>
      </c>
      <c r="N51" s="6">
        <v>8</v>
      </c>
      <c r="O51" s="7">
        <f t="shared" si="1"/>
        <v>36000</v>
      </c>
      <c r="P51" s="7">
        <f t="shared" si="2"/>
        <v>6480</v>
      </c>
      <c r="Q51" s="8">
        <f t="shared" si="3"/>
        <v>42480</v>
      </c>
    </row>
    <row r="52" spans="2:17" x14ac:dyDescent="0.3">
      <c r="B52" s="1">
        <v>40</v>
      </c>
      <c r="C52" s="2" t="s">
        <v>13</v>
      </c>
      <c r="D52" s="3" t="s">
        <v>120</v>
      </c>
      <c r="E52" s="3">
        <v>98.3</v>
      </c>
      <c r="F52" s="3" t="s">
        <v>345</v>
      </c>
      <c r="G52" s="9" t="s">
        <v>61</v>
      </c>
      <c r="H52" s="9" t="s">
        <v>371</v>
      </c>
      <c r="I52" s="9">
        <v>1</v>
      </c>
      <c r="J52" s="4">
        <v>15</v>
      </c>
      <c r="K52" s="4">
        <v>10</v>
      </c>
      <c r="L52" s="4">
        <v>30</v>
      </c>
      <c r="M52" s="5">
        <f t="shared" si="0"/>
        <v>4500</v>
      </c>
      <c r="N52" s="6">
        <v>12</v>
      </c>
      <c r="O52" s="7">
        <f t="shared" si="1"/>
        <v>54000</v>
      </c>
      <c r="P52" s="7">
        <f t="shared" si="2"/>
        <v>9720</v>
      </c>
      <c r="Q52" s="8">
        <f t="shared" si="3"/>
        <v>63720</v>
      </c>
    </row>
    <row r="53" spans="2:17" ht="16.2" thickBot="1" x14ac:dyDescent="0.35">
      <c r="B53" s="88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90"/>
    </row>
    <row r="54" spans="2:17" ht="15" thickBot="1" x14ac:dyDescent="0.35">
      <c r="B54" s="91" t="s">
        <v>16</v>
      </c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3"/>
    </row>
    <row r="55" spans="2:17" x14ac:dyDescent="0.3">
      <c r="B55" s="94" t="s">
        <v>17</v>
      </c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6"/>
    </row>
    <row r="56" spans="2:17" x14ac:dyDescent="0.3">
      <c r="B56" s="69" t="s">
        <v>18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1"/>
    </row>
    <row r="57" spans="2:17" ht="15" thickBot="1" x14ac:dyDescent="0.35">
      <c r="B57" s="72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4"/>
    </row>
  </sheetData>
  <mergeCells count="6">
    <mergeCell ref="B56:Q56"/>
    <mergeCell ref="B57:Q57"/>
    <mergeCell ref="B12:Q12"/>
    <mergeCell ref="B53:Q53"/>
    <mergeCell ref="B54:Q54"/>
    <mergeCell ref="B55:Q5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8176-8597-4E13-AEFD-10551BF956A5}">
  <dimension ref="B1:Q29"/>
  <sheetViews>
    <sheetView zoomScale="82" workbookViewId="0">
      <selection activeCell="B26" sqref="B26:Q26"/>
    </sheetView>
  </sheetViews>
  <sheetFormatPr defaultColWidth="8.77734375" defaultRowHeight="14.4" x14ac:dyDescent="0.3"/>
  <cols>
    <col min="3" max="3" width="16.33203125" bestFit="1" customWidth="1"/>
    <col min="4" max="4" width="15" bestFit="1" customWidth="1"/>
    <col min="5" max="7" width="14.6640625" customWidth="1"/>
    <col min="8" max="8" width="13.44140625" bestFit="1" customWidth="1"/>
    <col min="9" max="9" width="6.44140625" bestFit="1" customWidth="1"/>
    <col min="10" max="10" width="12.44140625" customWidth="1"/>
    <col min="11" max="11" width="14" customWidth="1"/>
    <col min="12" max="12" width="14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325</v>
      </c>
      <c r="E14" s="9">
        <v>92.7</v>
      </c>
      <c r="F14" s="9" t="s">
        <v>322</v>
      </c>
      <c r="G14" s="9" t="s">
        <v>62</v>
      </c>
      <c r="H14" s="9" t="s">
        <v>328</v>
      </c>
      <c r="I14" s="9">
        <v>1</v>
      </c>
      <c r="J14" s="4">
        <v>15</v>
      </c>
      <c r="K14" s="4">
        <v>10</v>
      </c>
      <c r="L14" s="4">
        <v>30</v>
      </c>
      <c r="M14" s="5">
        <f t="shared" ref="M14:M24" si="0">J14*K14*L14</f>
        <v>4500</v>
      </c>
      <c r="N14" s="6">
        <v>10</v>
      </c>
      <c r="O14" s="7">
        <f>N14*M14</f>
        <v>45000</v>
      </c>
      <c r="P14" s="7">
        <f>O14*18%</f>
        <v>8100</v>
      </c>
      <c r="Q14" s="8">
        <f>O14+P14</f>
        <v>53100</v>
      </c>
    </row>
    <row r="15" spans="2:17" x14ac:dyDescent="0.3">
      <c r="B15" s="1">
        <v>2</v>
      </c>
      <c r="C15" s="2" t="s">
        <v>13</v>
      </c>
      <c r="D15" s="3" t="s">
        <v>47</v>
      </c>
      <c r="E15" s="9">
        <v>93.5</v>
      </c>
      <c r="F15" s="9" t="s">
        <v>322</v>
      </c>
      <c r="G15" s="9" t="s">
        <v>62</v>
      </c>
      <c r="H15" s="9" t="s">
        <v>327</v>
      </c>
      <c r="I15" s="9">
        <v>2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12</v>
      </c>
      <c r="O15" s="7">
        <f t="shared" ref="O15:O24" si="1">N15*M15</f>
        <v>54000</v>
      </c>
      <c r="P15" s="7">
        <f t="shared" ref="P15:P24" si="2">O15*18%</f>
        <v>9720</v>
      </c>
      <c r="Q15" s="8">
        <f t="shared" ref="Q15:Q24" si="3">O15+P15</f>
        <v>63720</v>
      </c>
    </row>
    <row r="16" spans="2:17" x14ac:dyDescent="0.3">
      <c r="B16" s="1">
        <v>3</v>
      </c>
      <c r="C16" s="2" t="s">
        <v>13</v>
      </c>
      <c r="D16" s="3" t="s">
        <v>120</v>
      </c>
      <c r="E16" s="43">
        <v>95</v>
      </c>
      <c r="F16" s="9" t="s">
        <v>322</v>
      </c>
      <c r="G16" s="9" t="s">
        <v>62</v>
      </c>
      <c r="H16" s="9" t="s">
        <v>329</v>
      </c>
      <c r="I16" s="9">
        <v>3</v>
      </c>
      <c r="J16" s="4">
        <v>15</v>
      </c>
      <c r="K16" s="4">
        <v>10</v>
      </c>
      <c r="L16" s="4">
        <v>30</v>
      </c>
      <c r="M16" s="5">
        <f t="shared" ref="M16" si="4">J16*K16*L16</f>
        <v>4500</v>
      </c>
      <c r="N16" s="10">
        <v>15</v>
      </c>
      <c r="O16" s="7">
        <f t="shared" ref="O16" si="5">N16*M16</f>
        <v>67500</v>
      </c>
      <c r="P16" s="7">
        <f t="shared" ref="P16" si="6">O16*18%</f>
        <v>12150</v>
      </c>
      <c r="Q16" s="8">
        <f t="shared" ref="Q16" si="7">O16+P16</f>
        <v>79650</v>
      </c>
    </row>
    <row r="17" spans="2:17" x14ac:dyDescent="0.3">
      <c r="B17" s="1">
        <v>4</v>
      </c>
      <c r="C17" s="2" t="s">
        <v>13</v>
      </c>
      <c r="D17" s="3" t="s">
        <v>325</v>
      </c>
      <c r="E17" s="9">
        <v>92.7</v>
      </c>
      <c r="F17" s="9" t="s">
        <v>323</v>
      </c>
      <c r="G17" s="9" t="s">
        <v>62</v>
      </c>
      <c r="H17" s="9" t="s">
        <v>330</v>
      </c>
      <c r="I17" s="9">
        <v>3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25</v>
      </c>
      <c r="O17" s="7">
        <f t="shared" si="1"/>
        <v>112500</v>
      </c>
      <c r="P17" s="7">
        <f t="shared" si="2"/>
        <v>20250</v>
      </c>
      <c r="Q17" s="8">
        <f t="shared" si="3"/>
        <v>132750</v>
      </c>
    </row>
    <row r="18" spans="2:17" x14ac:dyDescent="0.3">
      <c r="B18" s="1">
        <v>5</v>
      </c>
      <c r="C18" s="2" t="s">
        <v>13</v>
      </c>
      <c r="D18" s="3" t="s">
        <v>47</v>
      </c>
      <c r="E18" s="9">
        <v>93.5</v>
      </c>
      <c r="F18" s="9" t="s">
        <v>323</v>
      </c>
      <c r="G18" s="9" t="s">
        <v>62</v>
      </c>
      <c r="H18" s="9" t="s">
        <v>331</v>
      </c>
      <c r="I18" s="9">
        <v>2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6">
        <v>35</v>
      </c>
      <c r="O18" s="7">
        <f t="shared" si="1"/>
        <v>157500</v>
      </c>
      <c r="P18" s="7">
        <f t="shared" si="2"/>
        <v>28350</v>
      </c>
      <c r="Q18" s="8">
        <f t="shared" si="3"/>
        <v>185850</v>
      </c>
    </row>
    <row r="19" spans="2:17" x14ac:dyDescent="0.3">
      <c r="B19" s="1">
        <v>6</v>
      </c>
      <c r="C19" s="2" t="s">
        <v>13</v>
      </c>
      <c r="D19" s="3" t="s">
        <v>165</v>
      </c>
      <c r="E19" s="9">
        <v>94.3</v>
      </c>
      <c r="F19" s="9" t="s">
        <v>323</v>
      </c>
      <c r="G19" s="9" t="s">
        <v>62</v>
      </c>
      <c r="H19" s="9" t="s">
        <v>332</v>
      </c>
      <c r="I19" s="9">
        <v>5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10">
        <v>20</v>
      </c>
      <c r="O19" s="7">
        <f t="shared" si="1"/>
        <v>90000</v>
      </c>
      <c r="P19" s="7">
        <f t="shared" si="2"/>
        <v>16200</v>
      </c>
      <c r="Q19" s="8">
        <f t="shared" si="3"/>
        <v>106200</v>
      </c>
    </row>
    <row r="20" spans="2:17" x14ac:dyDescent="0.3">
      <c r="B20" s="1">
        <v>7</v>
      </c>
      <c r="C20" s="2" t="s">
        <v>13</v>
      </c>
      <c r="D20" s="3" t="s">
        <v>120</v>
      </c>
      <c r="E20" s="9">
        <v>98.3</v>
      </c>
      <c r="F20" s="9" t="s">
        <v>323</v>
      </c>
      <c r="G20" s="9" t="s">
        <v>62</v>
      </c>
      <c r="H20" s="9" t="s">
        <v>333</v>
      </c>
      <c r="I20" s="9">
        <v>1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10">
        <v>45</v>
      </c>
      <c r="O20" s="7">
        <f t="shared" si="1"/>
        <v>202500</v>
      </c>
      <c r="P20" s="7">
        <f t="shared" si="2"/>
        <v>36450</v>
      </c>
      <c r="Q20" s="8">
        <f t="shared" si="3"/>
        <v>238950</v>
      </c>
    </row>
    <row r="21" spans="2:17" x14ac:dyDescent="0.3">
      <c r="B21" s="1">
        <v>8</v>
      </c>
      <c r="C21" s="2" t="s">
        <v>13</v>
      </c>
      <c r="D21" s="3" t="s">
        <v>326</v>
      </c>
      <c r="E21" s="43">
        <v>104</v>
      </c>
      <c r="F21" s="9" t="s">
        <v>323</v>
      </c>
      <c r="G21" s="9" t="s">
        <v>62</v>
      </c>
      <c r="H21" s="9" t="s">
        <v>334</v>
      </c>
      <c r="I21" s="9">
        <v>4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10">
        <v>20</v>
      </c>
      <c r="O21" s="7">
        <f t="shared" si="1"/>
        <v>90000</v>
      </c>
      <c r="P21" s="7">
        <f t="shared" si="2"/>
        <v>16200</v>
      </c>
      <c r="Q21" s="8">
        <f t="shared" si="3"/>
        <v>106200</v>
      </c>
    </row>
    <row r="22" spans="2:17" x14ac:dyDescent="0.3">
      <c r="B22" s="1">
        <v>9</v>
      </c>
      <c r="C22" s="2" t="s">
        <v>13</v>
      </c>
      <c r="D22" s="3" t="s">
        <v>47</v>
      </c>
      <c r="E22" s="9">
        <v>93.5</v>
      </c>
      <c r="F22" s="9" t="s">
        <v>324</v>
      </c>
      <c r="G22" s="9" t="s">
        <v>62</v>
      </c>
      <c r="H22" s="9" t="s">
        <v>335</v>
      </c>
      <c r="I22" s="9">
        <v>1</v>
      </c>
      <c r="J22" s="4">
        <v>15</v>
      </c>
      <c r="K22" s="4">
        <v>10</v>
      </c>
      <c r="L22" s="4">
        <v>30</v>
      </c>
      <c r="M22" s="5">
        <f t="shared" si="0"/>
        <v>4500</v>
      </c>
      <c r="N22" s="10">
        <v>10</v>
      </c>
      <c r="O22" s="7">
        <f t="shared" si="1"/>
        <v>45000</v>
      </c>
      <c r="P22" s="7">
        <f t="shared" si="2"/>
        <v>8100</v>
      </c>
      <c r="Q22" s="8">
        <f t="shared" si="3"/>
        <v>53100</v>
      </c>
    </row>
    <row r="23" spans="2:17" x14ac:dyDescent="0.3">
      <c r="B23" s="1">
        <v>10</v>
      </c>
      <c r="C23" s="2" t="s">
        <v>13</v>
      </c>
      <c r="D23" s="3" t="s">
        <v>120</v>
      </c>
      <c r="E23" s="9">
        <v>98.3</v>
      </c>
      <c r="F23" s="9" t="s">
        <v>324</v>
      </c>
      <c r="G23" s="9" t="s">
        <v>62</v>
      </c>
      <c r="H23" s="9" t="s">
        <v>336</v>
      </c>
      <c r="I23" s="9">
        <v>2</v>
      </c>
      <c r="J23" s="4">
        <v>15</v>
      </c>
      <c r="K23" s="4">
        <v>10</v>
      </c>
      <c r="L23" s="4">
        <v>30</v>
      </c>
      <c r="M23" s="5">
        <f t="shared" si="0"/>
        <v>4500</v>
      </c>
      <c r="N23" s="10">
        <v>12</v>
      </c>
      <c r="O23" s="7">
        <f t="shared" si="1"/>
        <v>54000</v>
      </c>
      <c r="P23" s="7">
        <f t="shared" si="2"/>
        <v>9720</v>
      </c>
      <c r="Q23" s="8">
        <f t="shared" si="3"/>
        <v>63720</v>
      </c>
    </row>
    <row r="24" spans="2:17" x14ac:dyDescent="0.3">
      <c r="B24" s="1">
        <v>11</v>
      </c>
      <c r="C24" s="2" t="s">
        <v>13</v>
      </c>
      <c r="D24" s="9" t="s">
        <v>197</v>
      </c>
      <c r="E24" s="9">
        <v>94.3</v>
      </c>
      <c r="F24" s="9" t="s">
        <v>324</v>
      </c>
      <c r="G24" s="9" t="s">
        <v>62</v>
      </c>
      <c r="H24" s="9" t="s">
        <v>15</v>
      </c>
      <c r="I24" s="9"/>
      <c r="J24" s="4">
        <v>15</v>
      </c>
      <c r="K24" s="4">
        <v>10</v>
      </c>
      <c r="L24" s="4">
        <v>30</v>
      </c>
      <c r="M24" s="5">
        <f t="shared" si="0"/>
        <v>4500</v>
      </c>
      <c r="N24" s="10">
        <v>10</v>
      </c>
      <c r="O24" s="7">
        <f t="shared" si="1"/>
        <v>45000</v>
      </c>
      <c r="P24" s="7">
        <f t="shared" si="2"/>
        <v>8100</v>
      </c>
      <c r="Q24" s="8">
        <f t="shared" si="3"/>
        <v>53100</v>
      </c>
    </row>
    <row r="25" spans="2:17" ht="16.2" thickBot="1" x14ac:dyDescent="0.35">
      <c r="B25" s="88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90"/>
    </row>
    <row r="26" spans="2:17" ht="15" thickBot="1" x14ac:dyDescent="0.35">
      <c r="B26" s="91" t="s">
        <v>16</v>
      </c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3"/>
    </row>
    <row r="27" spans="2:17" x14ac:dyDescent="0.3">
      <c r="B27" s="94" t="s">
        <v>17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6"/>
    </row>
    <row r="28" spans="2:17" x14ac:dyDescent="0.3">
      <c r="B28" s="69" t="s">
        <v>18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1"/>
    </row>
    <row r="29" spans="2:17" ht="15" thickBot="1" x14ac:dyDescent="0.35">
      <c r="B29" s="72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4"/>
    </row>
  </sheetData>
  <mergeCells count="6">
    <mergeCell ref="B29:Q29"/>
    <mergeCell ref="B26:Q26"/>
    <mergeCell ref="B12:Q12"/>
    <mergeCell ref="B25:Q25"/>
    <mergeCell ref="B27:Q27"/>
    <mergeCell ref="B28:Q2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81E7-5A88-48C5-A1C8-1F0611200978}">
  <dimension ref="B1:Q28"/>
  <sheetViews>
    <sheetView zoomScale="64" workbookViewId="0">
      <selection activeCell="I7" sqref="I7"/>
    </sheetView>
  </sheetViews>
  <sheetFormatPr defaultColWidth="8.77734375" defaultRowHeight="14.4" x14ac:dyDescent="0.3"/>
  <cols>
    <col min="3" max="3" width="16.33203125" bestFit="1" customWidth="1"/>
    <col min="4" max="4" width="17.6640625" customWidth="1"/>
    <col min="5" max="5" width="14.33203125" customWidth="1"/>
    <col min="6" max="6" width="16.44140625" customWidth="1"/>
    <col min="7" max="8" width="14.6640625" customWidth="1"/>
    <col min="9" max="9" width="7.33203125" customWidth="1"/>
    <col min="10" max="10" width="12.44140625" customWidth="1"/>
    <col min="11" max="11" width="14" customWidth="1"/>
    <col min="12" max="12" width="14.44140625" customWidth="1"/>
    <col min="14" max="14" width="12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44</v>
      </c>
      <c r="E14" s="3">
        <v>91.1</v>
      </c>
      <c r="F14" s="3" t="s">
        <v>309</v>
      </c>
      <c r="G14" s="9" t="s">
        <v>63</v>
      </c>
      <c r="H14" s="9" t="s">
        <v>167</v>
      </c>
      <c r="I14" s="9">
        <v>5</v>
      </c>
      <c r="J14" s="4">
        <v>15</v>
      </c>
      <c r="K14" s="4">
        <v>10</v>
      </c>
      <c r="L14" s="4">
        <v>30</v>
      </c>
      <c r="M14" s="5">
        <f t="shared" ref="M14:M20" si="0">J14*K14*L14</f>
        <v>4500</v>
      </c>
      <c r="N14" s="6">
        <v>75</v>
      </c>
      <c r="O14" s="7">
        <f>N14*M14</f>
        <v>337500</v>
      </c>
      <c r="P14" s="7">
        <f>O14*18%</f>
        <v>60750</v>
      </c>
      <c r="Q14" s="8">
        <f>O14+P14</f>
        <v>398250</v>
      </c>
    </row>
    <row r="15" spans="2:17" x14ac:dyDescent="0.3">
      <c r="B15" s="1">
        <v>2</v>
      </c>
      <c r="C15" s="2" t="s">
        <v>13</v>
      </c>
      <c r="D15" s="3" t="s">
        <v>46</v>
      </c>
      <c r="E15" s="3">
        <v>92.7</v>
      </c>
      <c r="F15" s="3" t="s">
        <v>309</v>
      </c>
      <c r="G15" s="9" t="s">
        <v>63</v>
      </c>
      <c r="H15" s="9" t="s">
        <v>313</v>
      </c>
      <c r="I15" s="9">
        <v>3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70</v>
      </c>
      <c r="O15" s="7">
        <f t="shared" ref="O15:O20" si="1">N15*M15</f>
        <v>315000</v>
      </c>
      <c r="P15" s="7">
        <f t="shared" ref="P15:P20" si="2">O15*18%</f>
        <v>56700</v>
      </c>
      <c r="Q15" s="8">
        <f t="shared" ref="Q15:Q20" si="3">O15+P15</f>
        <v>371700</v>
      </c>
    </row>
    <row r="16" spans="2:17" x14ac:dyDescent="0.3">
      <c r="B16" s="1">
        <v>3</v>
      </c>
      <c r="C16" s="2" t="s">
        <v>13</v>
      </c>
      <c r="D16" s="3" t="s">
        <v>47</v>
      </c>
      <c r="E16" s="3">
        <v>93.5</v>
      </c>
      <c r="F16" s="3" t="s">
        <v>309</v>
      </c>
      <c r="G16" s="9" t="s">
        <v>63</v>
      </c>
      <c r="H16" s="9" t="s">
        <v>312</v>
      </c>
      <c r="I16" s="9">
        <v>2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6">
        <v>100</v>
      </c>
      <c r="O16" s="7">
        <f t="shared" si="1"/>
        <v>450000</v>
      </c>
      <c r="P16" s="7">
        <f t="shared" si="2"/>
        <v>81000</v>
      </c>
      <c r="Q16" s="8">
        <f t="shared" si="3"/>
        <v>531000</v>
      </c>
    </row>
    <row r="17" spans="2:17" x14ac:dyDescent="0.3">
      <c r="B17" s="1">
        <v>4</v>
      </c>
      <c r="C17" s="2" t="s">
        <v>13</v>
      </c>
      <c r="D17" s="3" t="s">
        <v>165</v>
      </c>
      <c r="E17" s="3">
        <v>94.3</v>
      </c>
      <c r="F17" s="3" t="s">
        <v>309</v>
      </c>
      <c r="G17" s="9" t="s">
        <v>63</v>
      </c>
      <c r="H17" s="9" t="s">
        <v>166</v>
      </c>
      <c r="I17" s="9">
        <v>7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50</v>
      </c>
      <c r="O17" s="7">
        <f t="shared" si="1"/>
        <v>225000</v>
      </c>
      <c r="P17" s="7">
        <f t="shared" si="2"/>
        <v>40500</v>
      </c>
      <c r="Q17" s="8">
        <f t="shared" si="3"/>
        <v>265500</v>
      </c>
    </row>
    <row r="18" spans="2:17" x14ac:dyDescent="0.3">
      <c r="B18" s="1">
        <v>5</v>
      </c>
      <c r="C18" s="2" t="s">
        <v>13</v>
      </c>
      <c r="D18" s="3" t="s">
        <v>120</v>
      </c>
      <c r="E18" s="3">
        <v>98.3</v>
      </c>
      <c r="F18" s="3" t="s">
        <v>309</v>
      </c>
      <c r="G18" s="9" t="s">
        <v>63</v>
      </c>
      <c r="H18" s="9" t="s">
        <v>315</v>
      </c>
      <c r="I18" s="9">
        <v>1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10">
        <v>100</v>
      </c>
      <c r="O18" s="7">
        <f t="shared" si="1"/>
        <v>450000</v>
      </c>
      <c r="P18" s="7">
        <f t="shared" si="2"/>
        <v>81000</v>
      </c>
      <c r="Q18" s="8">
        <f t="shared" si="3"/>
        <v>531000</v>
      </c>
    </row>
    <row r="19" spans="2:17" x14ac:dyDescent="0.3">
      <c r="B19" s="1">
        <v>6</v>
      </c>
      <c r="C19" s="2" t="s">
        <v>13</v>
      </c>
      <c r="D19" s="3" t="s">
        <v>162</v>
      </c>
      <c r="E19" s="12">
        <v>104</v>
      </c>
      <c r="F19" s="3" t="s">
        <v>309</v>
      </c>
      <c r="G19" s="9" t="s">
        <v>63</v>
      </c>
      <c r="H19" s="9" t="s">
        <v>316</v>
      </c>
      <c r="I19" s="9">
        <v>4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10">
        <v>80</v>
      </c>
      <c r="O19" s="7">
        <f t="shared" si="1"/>
        <v>360000</v>
      </c>
      <c r="P19" s="7">
        <f t="shared" si="2"/>
        <v>64800</v>
      </c>
      <c r="Q19" s="8">
        <f t="shared" si="3"/>
        <v>424800</v>
      </c>
    </row>
    <row r="20" spans="2:17" x14ac:dyDescent="0.3">
      <c r="B20" s="1">
        <v>7</v>
      </c>
      <c r="C20" s="2" t="s">
        <v>13</v>
      </c>
      <c r="D20" s="3" t="s">
        <v>310</v>
      </c>
      <c r="E20" s="3">
        <v>104.8</v>
      </c>
      <c r="F20" s="3" t="s">
        <v>309</v>
      </c>
      <c r="G20" s="9" t="s">
        <v>63</v>
      </c>
      <c r="H20" s="9" t="s">
        <v>317</v>
      </c>
      <c r="I20" s="9">
        <v>9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10">
        <v>60</v>
      </c>
      <c r="O20" s="7">
        <f t="shared" si="1"/>
        <v>270000</v>
      </c>
      <c r="P20" s="7">
        <f t="shared" si="2"/>
        <v>48600</v>
      </c>
      <c r="Q20" s="8">
        <f t="shared" si="3"/>
        <v>318600</v>
      </c>
    </row>
    <row r="21" spans="2:17" x14ac:dyDescent="0.3">
      <c r="B21" s="1">
        <v>8</v>
      </c>
      <c r="C21" s="2" t="s">
        <v>13</v>
      </c>
      <c r="D21" s="3" t="s">
        <v>318</v>
      </c>
      <c r="E21" s="12">
        <v>95</v>
      </c>
      <c r="F21" s="3" t="s">
        <v>309</v>
      </c>
      <c r="G21" s="9" t="s">
        <v>63</v>
      </c>
      <c r="H21" s="9" t="s">
        <v>321</v>
      </c>
      <c r="I21" s="9">
        <v>6</v>
      </c>
      <c r="J21" s="4">
        <v>15</v>
      </c>
      <c r="K21" s="4">
        <v>10</v>
      </c>
      <c r="L21" s="4">
        <v>30</v>
      </c>
      <c r="M21" s="5">
        <f t="shared" ref="M21:M23" si="4">J21*K21*L21</f>
        <v>4500</v>
      </c>
      <c r="N21" s="10">
        <v>50</v>
      </c>
      <c r="O21" s="7">
        <f t="shared" ref="O21:O23" si="5">N21*M21</f>
        <v>225000</v>
      </c>
      <c r="P21" s="7">
        <f t="shared" ref="P21:P23" si="6">O21*18%</f>
        <v>40500</v>
      </c>
      <c r="Q21" s="8">
        <f t="shared" ref="Q21:Q23" si="7">O21+P21</f>
        <v>265500</v>
      </c>
    </row>
    <row r="22" spans="2:17" x14ac:dyDescent="0.3">
      <c r="B22" s="1">
        <v>9</v>
      </c>
      <c r="C22" s="2" t="s">
        <v>13</v>
      </c>
      <c r="D22" s="3" t="s">
        <v>319</v>
      </c>
      <c r="E22" s="3">
        <v>107.2</v>
      </c>
      <c r="F22" s="3" t="s">
        <v>309</v>
      </c>
      <c r="G22" s="9" t="s">
        <v>63</v>
      </c>
      <c r="H22" s="9" t="s">
        <v>320</v>
      </c>
      <c r="I22" s="9">
        <v>8</v>
      </c>
      <c r="J22" s="4">
        <v>15</v>
      </c>
      <c r="K22" s="4">
        <v>10</v>
      </c>
      <c r="L22" s="4">
        <v>30</v>
      </c>
      <c r="M22" s="5">
        <f t="shared" si="4"/>
        <v>4500</v>
      </c>
      <c r="N22" s="10">
        <v>50</v>
      </c>
      <c r="O22" s="7">
        <f t="shared" si="5"/>
        <v>225000</v>
      </c>
      <c r="P22" s="7">
        <f t="shared" si="6"/>
        <v>40500</v>
      </c>
      <c r="Q22" s="8">
        <f t="shared" si="7"/>
        <v>265500</v>
      </c>
    </row>
    <row r="23" spans="2:17" x14ac:dyDescent="0.3">
      <c r="B23" s="1">
        <v>10</v>
      </c>
      <c r="C23" s="2" t="s">
        <v>13</v>
      </c>
      <c r="D23" s="3" t="s">
        <v>311</v>
      </c>
      <c r="E23" s="3">
        <v>107.2</v>
      </c>
      <c r="F23" s="3" t="s">
        <v>309</v>
      </c>
      <c r="G23" s="9" t="s">
        <v>63</v>
      </c>
      <c r="H23" s="9" t="s">
        <v>15</v>
      </c>
      <c r="I23" s="9" t="s">
        <v>15</v>
      </c>
      <c r="J23" s="4">
        <v>15</v>
      </c>
      <c r="K23" s="4">
        <v>10</v>
      </c>
      <c r="L23" s="4">
        <v>30</v>
      </c>
      <c r="M23" s="5">
        <f t="shared" si="4"/>
        <v>4500</v>
      </c>
      <c r="N23" s="10">
        <v>65</v>
      </c>
      <c r="O23" s="7">
        <f t="shared" si="5"/>
        <v>292500</v>
      </c>
      <c r="P23" s="7">
        <f t="shared" si="6"/>
        <v>52650</v>
      </c>
      <c r="Q23" s="8">
        <f t="shared" si="7"/>
        <v>345150</v>
      </c>
    </row>
    <row r="24" spans="2:17" ht="16.2" thickBot="1" x14ac:dyDescent="0.35">
      <c r="B24" s="88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90"/>
    </row>
    <row r="25" spans="2:17" ht="15" thickBot="1" x14ac:dyDescent="0.35">
      <c r="B25" s="91" t="s">
        <v>16</v>
      </c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3"/>
    </row>
    <row r="26" spans="2:17" x14ac:dyDescent="0.3">
      <c r="B26" s="94" t="s">
        <v>17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6"/>
    </row>
    <row r="27" spans="2:17" x14ac:dyDescent="0.3">
      <c r="B27" s="69" t="s">
        <v>18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1"/>
    </row>
    <row r="28" spans="2:17" ht="15" thickBot="1" x14ac:dyDescent="0.35">
      <c r="B28" s="72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4"/>
    </row>
  </sheetData>
  <mergeCells count="6">
    <mergeCell ref="B28:Q28"/>
    <mergeCell ref="B25:Q25"/>
    <mergeCell ref="B12:Q12"/>
    <mergeCell ref="B24:Q24"/>
    <mergeCell ref="B26:Q26"/>
    <mergeCell ref="B27:Q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5960-BD6F-449D-BFAC-9CDFF9EE0584}">
  <dimension ref="B1:Q23"/>
  <sheetViews>
    <sheetView topLeftCell="B1" zoomScale="79" workbookViewId="0">
      <selection activeCell="B20" sqref="B20:Q20"/>
    </sheetView>
  </sheetViews>
  <sheetFormatPr defaultColWidth="8.77734375" defaultRowHeight="14.4" x14ac:dyDescent="0.3"/>
  <cols>
    <col min="3" max="3" width="16.33203125" bestFit="1" customWidth="1"/>
    <col min="4" max="4" width="15" bestFit="1" customWidth="1"/>
    <col min="5" max="5" width="11.6640625" bestFit="1" customWidth="1"/>
    <col min="6" max="6" width="11" customWidth="1"/>
    <col min="7" max="7" width="14.6640625" customWidth="1"/>
    <col min="8" max="8" width="13" customWidth="1"/>
    <col min="9" max="9" width="8.6640625" customWidth="1"/>
    <col min="10" max="10" width="12.44140625" customWidth="1"/>
    <col min="11" max="11" width="14" customWidth="1"/>
    <col min="12" max="12" width="14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44</v>
      </c>
      <c r="E14" s="3">
        <v>91.9</v>
      </c>
      <c r="F14" s="3" t="s">
        <v>307</v>
      </c>
      <c r="G14" s="9" t="s">
        <v>64</v>
      </c>
      <c r="H14" s="9" t="s">
        <v>15</v>
      </c>
      <c r="I14" s="9" t="s">
        <v>15</v>
      </c>
      <c r="J14" s="4">
        <v>15</v>
      </c>
      <c r="K14" s="4">
        <v>10</v>
      </c>
      <c r="L14" s="4">
        <v>30</v>
      </c>
      <c r="M14" s="5">
        <f t="shared" ref="M14:M18" si="0">J14*K14*L14</f>
        <v>4500</v>
      </c>
      <c r="N14" s="6">
        <v>10</v>
      </c>
      <c r="O14" s="7">
        <f>N14*M14</f>
        <v>45000</v>
      </c>
      <c r="P14" s="7">
        <f>O14*18%</f>
        <v>8100</v>
      </c>
      <c r="Q14" s="8">
        <f>O14+P14</f>
        <v>53100</v>
      </c>
    </row>
    <row r="15" spans="2:17" x14ac:dyDescent="0.3">
      <c r="B15" s="1">
        <v>2</v>
      </c>
      <c r="C15" s="2" t="s">
        <v>13</v>
      </c>
      <c r="D15" s="3" t="s">
        <v>46</v>
      </c>
      <c r="E15" s="3">
        <v>92.7</v>
      </c>
      <c r="F15" s="3" t="s">
        <v>307</v>
      </c>
      <c r="G15" s="9" t="s">
        <v>64</v>
      </c>
      <c r="H15" s="9" t="s">
        <v>15</v>
      </c>
      <c r="I15" s="9" t="s">
        <v>15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8</v>
      </c>
      <c r="O15" s="7">
        <f t="shared" ref="O15:O18" si="1">N15*M15</f>
        <v>36000</v>
      </c>
      <c r="P15" s="7">
        <f t="shared" ref="P15:P18" si="2">O15*18%</f>
        <v>6480</v>
      </c>
      <c r="Q15" s="8">
        <f t="shared" ref="Q15:Q18" si="3">P15+O15</f>
        <v>42480</v>
      </c>
    </row>
    <row r="16" spans="2:17" x14ac:dyDescent="0.3">
      <c r="B16" s="1">
        <v>3</v>
      </c>
      <c r="C16" s="2" t="s">
        <v>13</v>
      </c>
      <c r="D16" s="3" t="s">
        <v>118</v>
      </c>
      <c r="E16" s="3">
        <v>94.5</v>
      </c>
      <c r="F16" s="3" t="s">
        <v>307</v>
      </c>
      <c r="G16" s="9" t="s">
        <v>64</v>
      </c>
      <c r="H16" s="9" t="s">
        <v>15</v>
      </c>
      <c r="I16" s="9" t="s">
        <v>15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6">
        <v>8</v>
      </c>
      <c r="O16" s="7">
        <f t="shared" si="1"/>
        <v>36000</v>
      </c>
      <c r="P16" s="7">
        <f t="shared" si="2"/>
        <v>6480</v>
      </c>
      <c r="Q16" s="8">
        <f t="shared" si="3"/>
        <v>42480</v>
      </c>
    </row>
    <row r="17" spans="2:17" x14ac:dyDescent="0.3">
      <c r="B17" s="1">
        <v>4</v>
      </c>
      <c r="C17" s="2" t="s">
        <v>13</v>
      </c>
      <c r="D17" s="3" t="s">
        <v>44</v>
      </c>
      <c r="E17" s="3">
        <v>91.9</v>
      </c>
      <c r="F17" s="3" t="s">
        <v>308</v>
      </c>
      <c r="G17" s="9" t="s">
        <v>64</v>
      </c>
      <c r="H17" s="9" t="s">
        <v>15</v>
      </c>
      <c r="I17" s="9" t="s">
        <v>15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8</v>
      </c>
      <c r="O17" s="7">
        <f t="shared" si="1"/>
        <v>36000</v>
      </c>
      <c r="P17" s="7">
        <f t="shared" si="2"/>
        <v>6480</v>
      </c>
      <c r="Q17" s="8">
        <f t="shared" si="3"/>
        <v>42480</v>
      </c>
    </row>
    <row r="18" spans="2:17" x14ac:dyDescent="0.3">
      <c r="B18" s="1">
        <v>5</v>
      </c>
      <c r="C18" s="2" t="s">
        <v>13</v>
      </c>
      <c r="D18" s="3" t="s">
        <v>118</v>
      </c>
      <c r="E18" s="3">
        <v>94.5</v>
      </c>
      <c r="F18" s="3" t="s">
        <v>308</v>
      </c>
      <c r="G18" s="9" t="s">
        <v>64</v>
      </c>
      <c r="H18" s="9" t="s">
        <v>15</v>
      </c>
      <c r="I18" s="9" t="s">
        <v>15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10">
        <v>8</v>
      </c>
      <c r="O18" s="7">
        <f t="shared" si="1"/>
        <v>36000</v>
      </c>
      <c r="P18" s="7">
        <f t="shared" si="2"/>
        <v>6480</v>
      </c>
      <c r="Q18" s="8">
        <f t="shared" si="3"/>
        <v>42480</v>
      </c>
    </row>
    <row r="19" spans="2:17" ht="16.2" thickBot="1" x14ac:dyDescent="0.35">
      <c r="B19" s="88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90"/>
    </row>
    <row r="20" spans="2:17" ht="15" thickBot="1" x14ac:dyDescent="0.35">
      <c r="B20" s="91" t="s">
        <v>16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3"/>
    </row>
    <row r="21" spans="2:17" x14ac:dyDescent="0.3">
      <c r="B21" s="94" t="s">
        <v>17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6"/>
    </row>
    <row r="22" spans="2:17" x14ac:dyDescent="0.3">
      <c r="B22" s="69" t="s">
        <v>18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1"/>
    </row>
    <row r="23" spans="2:17" ht="15" thickBot="1" x14ac:dyDescent="0.35">
      <c r="B23" s="72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/>
    </row>
  </sheetData>
  <mergeCells count="6">
    <mergeCell ref="B23:Q23"/>
    <mergeCell ref="B20:Q20"/>
    <mergeCell ref="B12:Q12"/>
    <mergeCell ref="B19:Q19"/>
    <mergeCell ref="B21:Q21"/>
    <mergeCell ref="B22:Q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B071-DF3D-4FCE-BFC0-F9A13DF9517F}">
  <dimension ref="B1:Q22"/>
  <sheetViews>
    <sheetView zoomScale="77" zoomScaleNormal="89" workbookViewId="0">
      <selection activeCell="B19" sqref="B19:Q19"/>
    </sheetView>
  </sheetViews>
  <sheetFormatPr defaultColWidth="8.77734375" defaultRowHeight="14.4" x14ac:dyDescent="0.3"/>
  <cols>
    <col min="3" max="3" width="16.33203125" bestFit="1" customWidth="1"/>
    <col min="4" max="4" width="15" bestFit="1" customWidth="1"/>
    <col min="5" max="5" width="14.44140625" customWidth="1"/>
    <col min="6" max="6" width="12.44140625" customWidth="1"/>
    <col min="7" max="7" width="14.6640625" customWidth="1"/>
    <col min="8" max="8" width="13.44140625" bestFit="1" customWidth="1"/>
    <col min="9" max="9" width="7.109375" customWidth="1"/>
    <col min="10" max="10" width="12.44140625" customWidth="1"/>
    <col min="11" max="11" width="14" customWidth="1"/>
    <col min="12" max="12" width="14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306</v>
      </c>
      <c r="E14" s="3">
        <v>94.3</v>
      </c>
      <c r="F14" s="3" t="s">
        <v>302</v>
      </c>
      <c r="G14" s="9" t="s">
        <v>65</v>
      </c>
      <c r="H14" s="9" t="s">
        <v>194</v>
      </c>
      <c r="I14" s="9">
        <v>3</v>
      </c>
      <c r="J14" s="4">
        <v>15</v>
      </c>
      <c r="K14" s="4">
        <v>10</v>
      </c>
      <c r="L14" s="4">
        <v>30</v>
      </c>
      <c r="M14" s="5">
        <f t="shared" ref="M14:M17" si="0">J14*K14*L14</f>
        <v>4500</v>
      </c>
      <c r="N14" s="6">
        <v>10</v>
      </c>
      <c r="O14" s="7">
        <f>N14*M14</f>
        <v>45000</v>
      </c>
      <c r="P14" s="7">
        <f>O14*18%</f>
        <v>8100</v>
      </c>
      <c r="Q14" s="8">
        <f>O14+P14</f>
        <v>53100</v>
      </c>
    </row>
    <row r="15" spans="2:17" x14ac:dyDescent="0.3">
      <c r="B15" s="1">
        <v>2</v>
      </c>
      <c r="C15" s="2" t="s">
        <v>13</v>
      </c>
      <c r="D15" s="3" t="s">
        <v>38</v>
      </c>
      <c r="E15" s="3">
        <v>92.7</v>
      </c>
      <c r="F15" s="3" t="s">
        <v>302</v>
      </c>
      <c r="G15" s="9" t="s">
        <v>65</v>
      </c>
      <c r="H15" s="9" t="s">
        <v>305</v>
      </c>
      <c r="I15" s="9">
        <v>2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11</v>
      </c>
      <c r="O15" s="7">
        <f t="shared" ref="O15:O17" si="1">N15*M15</f>
        <v>49500</v>
      </c>
      <c r="P15" s="7">
        <f t="shared" ref="P15:P17" si="2">O15*18%</f>
        <v>8910</v>
      </c>
      <c r="Q15" s="8">
        <f t="shared" ref="Q15:Q17" si="3">O15+P15</f>
        <v>58410</v>
      </c>
    </row>
    <row r="16" spans="2:17" x14ac:dyDescent="0.3">
      <c r="B16" s="1">
        <v>3</v>
      </c>
      <c r="C16" s="2" t="s">
        <v>13</v>
      </c>
      <c r="D16" s="3" t="s">
        <v>42</v>
      </c>
      <c r="E16" s="3">
        <v>93.5</v>
      </c>
      <c r="F16" s="3" t="s">
        <v>302</v>
      </c>
      <c r="G16" s="9" t="s">
        <v>65</v>
      </c>
      <c r="H16" s="9" t="s">
        <v>303</v>
      </c>
      <c r="I16" s="9">
        <v>1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6">
        <v>15</v>
      </c>
      <c r="O16" s="7">
        <f t="shared" si="1"/>
        <v>67500</v>
      </c>
      <c r="P16" s="7">
        <f t="shared" si="2"/>
        <v>12150</v>
      </c>
      <c r="Q16" s="8">
        <f t="shared" si="3"/>
        <v>79650</v>
      </c>
    </row>
    <row r="17" spans="2:17" x14ac:dyDescent="0.3">
      <c r="B17" s="1">
        <v>4</v>
      </c>
      <c r="C17" s="2" t="s">
        <v>13</v>
      </c>
      <c r="D17" s="3" t="s">
        <v>120</v>
      </c>
      <c r="E17" s="12">
        <v>95</v>
      </c>
      <c r="F17" s="3" t="s">
        <v>302</v>
      </c>
      <c r="G17" s="9" t="s">
        <v>65</v>
      </c>
      <c r="H17" s="9" t="s">
        <v>304</v>
      </c>
      <c r="I17" s="9">
        <v>4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15</v>
      </c>
      <c r="O17" s="7">
        <f t="shared" si="1"/>
        <v>67500</v>
      </c>
      <c r="P17" s="7">
        <f t="shared" si="2"/>
        <v>12150</v>
      </c>
      <c r="Q17" s="8">
        <f t="shared" si="3"/>
        <v>79650</v>
      </c>
    </row>
    <row r="18" spans="2:17" ht="16.2" thickBot="1" x14ac:dyDescent="0.35">
      <c r="B18" s="88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90"/>
    </row>
    <row r="19" spans="2:17" ht="15" thickBot="1" x14ac:dyDescent="0.35">
      <c r="B19" s="91" t="s">
        <v>16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3"/>
    </row>
    <row r="20" spans="2:17" x14ac:dyDescent="0.3">
      <c r="B20" s="94" t="s">
        <v>17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6"/>
    </row>
    <row r="21" spans="2:17" x14ac:dyDescent="0.3">
      <c r="B21" s="69" t="s">
        <v>18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1"/>
    </row>
    <row r="22" spans="2:17" ht="15" thickBot="1" x14ac:dyDescent="0.35">
      <c r="B22" s="72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4"/>
    </row>
  </sheetData>
  <mergeCells count="6">
    <mergeCell ref="B22:Q22"/>
    <mergeCell ref="B19:Q19"/>
    <mergeCell ref="B12:Q12"/>
    <mergeCell ref="B18:Q18"/>
    <mergeCell ref="B20:Q20"/>
    <mergeCell ref="B21:Q2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00CA-3FE7-4C00-823C-4DA2C324B63E}">
  <dimension ref="B1:Q47"/>
  <sheetViews>
    <sheetView zoomScale="67" workbookViewId="0">
      <selection activeCell="I9" sqref="I9"/>
    </sheetView>
  </sheetViews>
  <sheetFormatPr defaultColWidth="8.77734375" defaultRowHeight="14.4" x14ac:dyDescent="0.3"/>
  <cols>
    <col min="3" max="3" width="16.33203125" bestFit="1" customWidth="1"/>
    <col min="4" max="4" width="17.33203125" customWidth="1"/>
    <col min="5" max="5" width="11.6640625" bestFit="1" customWidth="1"/>
    <col min="6" max="6" width="16" customWidth="1"/>
    <col min="7" max="8" width="14.6640625" customWidth="1"/>
    <col min="9" max="9" width="7.33203125" customWidth="1"/>
    <col min="10" max="10" width="12.44140625" customWidth="1"/>
    <col min="11" max="11" width="14" customWidth="1"/>
    <col min="12" max="12" width="14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44</v>
      </c>
      <c r="E14" s="3">
        <v>91.1</v>
      </c>
      <c r="F14" s="3" t="s">
        <v>273</v>
      </c>
      <c r="G14" s="9" t="s">
        <v>66</v>
      </c>
      <c r="H14" s="9" t="s">
        <v>284</v>
      </c>
      <c r="I14" s="9">
        <v>4</v>
      </c>
      <c r="J14" s="4">
        <v>15</v>
      </c>
      <c r="K14" s="4">
        <v>10</v>
      </c>
      <c r="L14" s="4">
        <v>30</v>
      </c>
      <c r="M14" s="5">
        <f t="shared" ref="M14:M42" si="0">J14*K14*L14</f>
        <v>4500</v>
      </c>
      <c r="N14" s="6">
        <v>25</v>
      </c>
      <c r="O14" s="7">
        <f>N14*M14</f>
        <v>112500</v>
      </c>
      <c r="P14" s="7">
        <f>O14*18%</f>
        <v>20250</v>
      </c>
      <c r="Q14" s="8">
        <f>O14+P14</f>
        <v>132750</v>
      </c>
    </row>
    <row r="15" spans="2:17" x14ac:dyDescent="0.3">
      <c r="B15" s="1">
        <v>2</v>
      </c>
      <c r="C15" s="2" t="s">
        <v>13</v>
      </c>
      <c r="D15" s="3" t="s">
        <v>162</v>
      </c>
      <c r="E15" s="3">
        <v>91.9</v>
      </c>
      <c r="F15" s="3" t="s">
        <v>273</v>
      </c>
      <c r="G15" s="9" t="s">
        <v>66</v>
      </c>
      <c r="H15" s="9" t="s">
        <v>285</v>
      </c>
      <c r="I15" s="9">
        <v>7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30</v>
      </c>
      <c r="O15" s="7">
        <f t="shared" ref="O15:O42" si="1">N15*M15</f>
        <v>135000</v>
      </c>
      <c r="P15" s="7">
        <f t="shared" ref="P15:P42" si="2">O15*18%</f>
        <v>24300</v>
      </c>
      <c r="Q15" s="8">
        <f t="shared" ref="Q15:Q42" si="3">O15+P15</f>
        <v>159300</v>
      </c>
    </row>
    <row r="16" spans="2:17" x14ac:dyDescent="0.3">
      <c r="B16" s="1">
        <v>3</v>
      </c>
      <c r="C16" s="2" t="s">
        <v>13</v>
      </c>
      <c r="D16" s="3" t="s">
        <v>46</v>
      </c>
      <c r="E16" s="3">
        <v>92.7</v>
      </c>
      <c r="F16" s="3" t="s">
        <v>273</v>
      </c>
      <c r="G16" s="9" t="s">
        <v>66</v>
      </c>
      <c r="H16" s="9" t="s">
        <v>286</v>
      </c>
      <c r="I16" s="9">
        <v>5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6">
        <v>35</v>
      </c>
      <c r="O16" s="7">
        <f t="shared" si="1"/>
        <v>157500</v>
      </c>
      <c r="P16" s="7">
        <f t="shared" si="2"/>
        <v>28350</v>
      </c>
      <c r="Q16" s="8">
        <f t="shared" si="3"/>
        <v>185850</v>
      </c>
    </row>
    <row r="17" spans="2:17" x14ac:dyDescent="0.3">
      <c r="B17" s="1">
        <v>4</v>
      </c>
      <c r="C17" s="2" t="s">
        <v>13</v>
      </c>
      <c r="D17" s="3" t="s">
        <v>283</v>
      </c>
      <c r="E17" s="3">
        <v>93.5</v>
      </c>
      <c r="F17" s="3" t="s">
        <v>273</v>
      </c>
      <c r="G17" s="9" t="s">
        <v>66</v>
      </c>
      <c r="H17" s="9" t="s">
        <v>287</v>
      </c>
      <c r="I17" s="9">
        <v>2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80</v>
      </c>
      <c r="O17" s="7">
        <f t="shared" si="1"/>
        <v>360000</v>
      </c>
      <c r="P17" s="7">
        <f t="shared" si="2"/>
        <v>64800</v>
      </c>
      <c r="Q17" s="8">
        <f t="shared" si="3"/>
        <v>424800</v>
      </c>
    </row>
    <row r="18" spans="2:17" x14ac:dyDescent="0.3">
      <c r="B18" s="1">
        <v>5</v>
      </c>
      <c r="C18" s="2" t="s">
        <v>13</v>
      </c>
      <c r="D18" s="3" t="s">
        <v>165</v>
      </c>
      <c r="E18" s="3">
        <v>94.3</v>
      </c>
      <c r="F18" s="3" t="s">
        <v>273</v>
      </c>
      <c r="G18" s="9" t="s">
        <v>66</v>
      </c>
      <c r="H18" s="9" t="s">
        <v>288</v>
      </c>
      <c r="I18" s="9">
        <v>6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6">
        <v>25</v>
      </c>
      <c r="O18" s="7">
        <f t="shared" si="1"/>
        <v>112500</v>
      </c>
      <c r="P18" s="7">
        <f t="shared" si="2"/>
        <v>20250</v>
      </c>
      <c r="Q18" s="8">
        <f t="shared" si="3"/>
        <v>132750</v>
      </c>
    </row>
    <row r="19" spans="2:17" x14ac:dyDescent="0.3">
      <c r="B19" s="1">
        <v>7</v>
      </c>
      <c r="C19" s="2" t="s">
        <v>13</v>
      </c>
      <c r="D19" s="3" t="s">
        <v>120</v>
      </c>
      <c r="E19" s="3">
        <v>98.3</v>
      </c>
      <c r="F19" s="3" t="s">
        <v>273</v>
      </c>
      <c r="G19" s="9" t="s">
        <v>66</v>
      </c>
      <c r="H19" s="9" t="s">
        <v>289</v>
      </c>
      <c r="I19" s="9">
        <v>3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10">
        <v>50</v>
      </c>
      <c r="O19" s="7">
        <f t="shared" si="1"/>
        <v>225000</v>
      </c>
      <c r="P19" s="7">
        <f t="shared" si="2"/>
        <v>40500</v>
      </c>
      <c r="Q19" s="8">
        <f t="shared" si="3"/>
        <v>265500</v>
      </c>
    </row>
    <row r="20" spans="2:17" x14ac:dyDescent="0.3">
      <c r="B20" s="1">
        <v>9</v>
      </c>
      <c r="C20" s="2" t="s">
        <v>13</v>
      </c>
      <c r="D20" s="3" t="s">
        <v>282</v>
      </c>
      <c r="E20" s="3">
        <v>106.4</v>
      </c>
      <c r="F20" s="3" t="s">
        <v>273</v>
      </c>
      <c r="G20" s="9" t="s">
        <v>66</v>
      </c>
      <c r="H20" s="9" t="s">
        <v>168</v>
      </c>
      <c r="I20" s="9">
        <v>1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10">
        <v>50</v>
      </c>
      <c r="O20" s="7">
        <f t="shared" si="1"/>
        <v>225000</v>
      </c>
      <c r="P20" s="7">
        <f t="shared" si="2"/>
        <v>40500</v>
      </c>
      <c r="Q20" s="8">
        <f t="shared" si="3"/>
        <v>265500</v>
      </c>
    </row>
    <row r="21" spans="2:17" x14ac:dyDescent="0.3">
      <c r="B21" s="1">
        <v>10</v>
      </c>
      <c r="C21" s="2" t="s">
        <v>13</v>
      </c>
      <c r="D21" s="3" t="s">
        <v>44</v>
      </c>
      <c r="E21" s="3">
        <v>91.1</v>
      </c>
      <c r="F21" s="3" t="s">
        <v>274</v>
      </c>
      <c r="G21" s="9" t="s">
        <v>66</v>
      </c>
      <c r="H21" s="9" t="s">
        <v>290</v>
      </c>
      <c r="I21" s="9">
        <v>4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10">
        <v>18</v>
      </c>
      <c r="O21" s="7">
        <f t="shared" si="1"/>
        <v>81000</v>
      </c>
      <c r="P21" s="7">
        <f t="shared" si="2"/>
        <v>14580</v>
      </c>
      <c r="Q21" s="8">
        <f t="shared" si="3"/>
        <v>95580</v>
      </c>
    </row>
    <row r="22" spans="2:17" x14ac:dyDescent="0.3">
      <c r="B22" s="1">
        <v>11</v>
      </c>
      <c r="C22" s="2" t="s">
        <v>13</v>
      </c>
      <c r="D22" s="3" t="s">
        <v>283</v>
      </c>
      <c r="E22" s="3">
        <v>93.5</v>
      </c>
      <c r="F22" s="3" t="s">
        <v>274</v>
      </c>
      <c r="G22" s="9" t="s">
        <v>66</v>
      </c>
      <c r="H22" s="9" t="s">
        <v>291</v>
      </c>
      <c r="I22" s="9">
        <v>1</v>
      </c>
      <c r="J22" s="4">
        <v>15</v>
      </c>
      <c r="K22" s="4">
        <v>10</v>
      </c>
      <c r="L22" s="4">
        <v>30</v>
      </c>
      <c r="M22" s="5">
        <f t="shared" si="0"/>
        <v>4500</v>
      </c>
      <c r="N22" s="10">
        <v>38</v>
      </c>
      <c r="O22" s="7">
        <f t="shared" si="1"/>
        <v>171000</v>
      </c>
      <c r="P22" s="7">
        <f t="shared" si="2"/>
        <v>30780</v>
      </c>
      <c r="Q22" s="8">
        <f t="shared" si="3"/>
        <v>201780</v>
      </c>
    </row>
    <row r="23" spans="2:17" x14ac:dyDescent="0.3">
      <c r="B23" s="1">
        <v>12</v>
      </c>
      <c r="C23" s="2" t="s">
        <v>13</v>
      </c>
      <c r="D23" s="3" t="s">
        <v>120</v>
      </c>
      <c r="E23" s="3">
        <v>98.3</v>
      </c>
      <c r="F23" s="3" t="s">
        <v>274</v>
      </c>
      <c r="G23" s="9" t="s">
        <v>66</v>
      </c>
      <c r="H23" s="9" t="s">
        <v>292</v>
      </c>
      <c r="I23" s="9">
        <v>3</v>
      </c>
      <c r="J23" s="4">
        <v>15</v>
      </c>
      <c r="K23" s="4">
        <v>10</v>
      </c>
      <c r="L23" s="4">
        <v>30</v>
      </c>
      <c r="M23" s="5">
        <f t="shared" si="0"/>
        <v>4500</v>
      </c>
      <c r="N23" s="10">
        <v>18</v>
      </c>
      <c r="O23" s="7">
        <f t="shared" si="1"/>
        <v>81000</v>
      </c>
      <c r="P23" s="7">
        <f t="shared" si="2"/>
        <v>14580</v>
      </c>
      <c r="Q23" s="8">
        <f t="shared" si="3"/>
        <v>95580</v>
      </c>
    </row>
    <row r="24" spans="2:17" x14ac:dyDescent="0.3">
      <c r="B24" s="1">
        <v>13</v>
      </c>
      <c r="C24" s="2" t="s">
        <v>13</v>
      </c>
      <c r="D24" s="3" t="s">
        <v>282</v>
      </c>
      <c r="E24" s="3">
        <v>106.4</v>
      </c>
      <c r="F24" s="3" t="s">
        <v>274</v>
      </c>
      <c r="G24" s="9" t="s">
        <v>66</v>
      </c>
      <c r="H24" s="9" t="s">
        <v>293</v>
      </c>
      <c r="I24" s="9">
        <v>2</v>
      </c>
      <c r="J24" s="4">
        <v>15</v>
      </c>
      <c r="K24" s="4">
        <v>10</v>
      </c>
      <c r="L24" s="4">
        <v>30</v>
      </c>
      <c r="M24" s="5">
        <f t="shared" si="0"/>
        <v>4500</v>
      </c>
      <c r="N24" s="11">
        <v>30</v>
      </c>
      <c r="O24" s="7">
        <f t="shared" si="1"/>
        <v>135000</v>
      </c>
      <c r="P24" s="7">
        <f t="shared" si="2"/>
        <v>24300</v>
      </c>
      <c r="Q24" s="8">
        <f t="shared" si="3"/>
        <v>159300</v>
      </c>
    </row>
    <row r="25" spans="2:17" x14ac:dyDescent="0.3">
      <c r="B25" s="1">
        <v>14</v>
      </c>
      <c r="C25" s="2" t="s">
        <v>13</v>
      </c>
      <c r="D25" s="3" t="s">
        <v>283</v>
      </c>
      <c r="E25" s="3">
        <v>91.9</v>
      </c>
      <c r="F25" s="3" t="s">
        <v>275</v>
      </c>
      <c r="G25" s="9" t="s">
        <v>66</v>
      </c>
      <c r="H25" s="9" t="s">
        <v>194</v>
      </c>
      <c r="I25" s="9">
        <v>1</v>
      </c>
      <c r="J25" s="4">
        <v>15</v>
      </c>
      <c r="K25" s="4">
        <v>10</v>
      </c>
      <c r="L25" s="4">
        <v>30</v>
      </c>
      <c r="M25" s="5">
        <f t="shared" si="0"/>
        <v>4500</v>
      </c>
      <c r="N25" s="6">
        <v>30</v>
      </c>
      <c r="O25" s="7">
        <f t="shared" si="1"/>
        <v>135000</v>
      </c>
      <c r="P25" s="7">
        <f t="shared" si="2"/>
        <v>24300</v>
      </c>
      <c r="Q25" s="8">
        <f t="shared" si="3"/>
        <v>159300</v>
      </c>
    </row>
    <row r="26" spans="2:17" x14ac:dyDescent="0.3">
      <c r="B26" s="1">
        <v>15</v>
      </c>
      <c r="C26" s="2" t="s">
        <v>13</v>
      </c>
      <c r="D26" s="3" t="s">
        <v>282</v>
      </c>
      <c r="E26" s="3">
        <v>92.7</v>
      </c>
      <c r="F26" s="3" t="s">
        <v>275</v>
      </c>
      <c r="G26" s="9" t="s">
        <v>66</v>
      </c>
      <c r="H26" s="9" t="s">
        <v>294</v>
      </c>
      <c r="I26" s="9">
        <v>2</v>
      </c>
      <c r="J26" s="4">
        <v>15</v>
      </c>
      <c r="K26" s="4">
        <v>10</v>
      </c>
      <c r="L26" s="4">
        <v>30</v>
      </c>
      <c r="M26" s="5">
        <f t="shared" si="0"/>
        <v>4500</v>
      </c>
      <c r="N26" s="10">
        <v>25</v>
      </c>
      <c r="O26" s="7">
        <f t="shared" si="1"/>
        <v>112500</v>
      </c>
      <c r="P26" s="7">
        <f t="shared" si="2"/>
        <v>20250</v>
      </c>
      <c r="Q26" s="8">
        <f t="shared" si="3"/>
        <v>132750</v>
      </c>
    </row>
    <row r="27" spans="2:17" x14ac:dyDescent="0.3">
      <c r="B27" s="1">
        <v>16</v>
      </c>
      <c r="C27" s="2" t="s">
        <v>13</v>
      </c>
      <c r="D27" s="3" t="s">
        <v>44</v>
      </c>
      <c r="E27" s="3">
        <v>91.9</v>
      </c>
      <c r="F27" s="3" t="s">
        <v>276</v>
      </c>
      <c r="G27" s="9" t="s">
        <v>66</v>
      </c>
      <c r="H27" s="9" t="s">
        <v>132</v>
      </c>
      <c r="I27" s="9">
        <v>4</v>
      </c>
      <c r="J27" s="4">
        <v>15</v>
      </c>
      <c r="K27" s="4">
        <v>10</v>
      </c>
      <c r="L27" s="4">
        <v>30</v>
      </c>
      <c r="M27" s="5">
        <f t="shared" si="0"/>
        <v>4500</v>
      </c>
      <c r="N27" s="10">
        <v>15</v>
      </c>
      <c r="O27" s="7">
        <f t="shared" si="1"/>
        <v>67500</v>
      </c>
      <c r="P27" s="7">
        <f t="shared" si="2"/>
        <v>12150</v>
      </c>
      <c r="Q27" s="8">
        <f t="shared" si="3"/>
        <v>79650</v>
      </c>
    </row>
    <row r="28" spans="2:17" x14ac:dyDescent="0.3">
      <c r="B28" s="1">
        <v>17</v>
      </c>
      <c r="C28" s="2" t="s">
        <v>13</v>
      </c>
      <c r="D28" s="3" t="s">
        <v>283</v>
      </c>
      <c r="E28" s="3">
        <v>93.5</v>
      </c>
      <c r="F28" s="3" t="s">
        <v>276</v>
      </c>
      <c r="G28" s="9" t="s">
        <v>66</v>
      </c>
      <c r="H28" s="9" t="s">
        <v>295</v>
      </c>
      <c r="I28" s="9">
        <v>1</v>
      </c>
      <c r="J28" s="4">
        <v>15</v>
      </c>
      <c r="K28" s="4">
        <v>10</v>
      </c>
      <c r="L28" s="4">
        <v>30</v>
      </c>
      <c r="M28" s="5">
        <f t="shared" si="0"/>
        <v>4500</v>
      </c>
      <c r="N28" s="6">
        <v>32</v>
      </c>
      <c r="O28" s="7">
        <f t="shared" si="1"/>
        <v>144000</v>
      </c>
      <c r="P28" s="7">
        <f t="shared" si="2"/>
        <v>25920</v>
      </c>
      <c r="Q28" s="8">
        <f t="shared" si="3"/>
        <v>169920</v>
      </c>
    </row>
    <row r="29" spans="2:17" x14ac:dyDescent="0.3">
      <c r="B29" s="1">
        <v>18</v>
      </c>
      <c r="C29" s="2" t="s">
        <v>13</v>
      </c>
      <c r="D29" s="3" t="s">
        <v>120</v>
      </c>
      <c r="E29" s="3">
        <v>98.3</v>
      </c>
      <c r="F29" s="3" t="s">
        <v>276</v>
      </c>
      <c r="G29" s="9" t="s">
        <v>66</v>
      </c>
      <c r="H29" s="9" t="s">
        <v>296</v>
      </c>
      <c r="I29" s="9">
        <v>3</v>
      </c>
      <c r="J29" s="4">
        <v>15</v>
      </c>
      <c r="K29" s="4">
        <v>10</v>
      </c>
      <c r="L29" s="4">
        <v>30</v>
      </c>
      <c r="M29" s="5">
        <f t="shared" si="0"/>
        <v>4500</v>
      </c>
      <c r="N29" s="10">
        <v>15</v>
      </c>
      <c r="O29" s="7">
        <f t="shared" si="1"/>
        <v>67500</v>
      </c>
      <c r="P29" s="7">
        <f t="shared" si="2"/>
        <v>12150</v>
      </c>
      <c r="Q29" s="8">
        <f t="shared" si="3"/>
        <v>79650</v>
      </c>
    </row>
    <row r="30" spans="2:17" x14ac:dyDescent="0.3">
      <c r="B30" s="1">
        <v>19</v>
      </c>
      <c r="C30" s="2" t="s">
        <v>13</v>
      </c>
      <c r="D30" s="3" t="s">
        <v>282</v>
      </c>
      <c r="E30" s="3">
        <v>106.4</v>
      </c>
      <c r="F30" s="3" t="s">
        <v>276</v>
      </c>
      <c r="G30" s="9" t="s">
        <v>66</v>
      </c>
      <c r="H30" s="9" t="s">
        <v>297</v>
      </c>
      <c r="I30" s="9">
        <v>2</v>
      </c>
      <c r="J30" s="4">
        <v>15</v>
      </c>
      <c r="K30" s="4">
        <v>10</v>
      </c>
      <c r="L30" s="4">
        <v>30</v>
      </c>
      <c r="M30" s="5">
        <f t="shared" si="0"/>
        <v>4500</v>
      </c>
      <c r="N30" s="6">
        <v>28</v>
      </c>
      <c r="O30" s="7">
        <f t="shared" si="1"/>
        <v>126000</v>
      </c>
      <c r="P30" s="7">
        <f t="shared" si="2"/>
        <v>22680</v>
      </c>
      <c r="Q30" s="8">
        <f t="shared" si="3"/>
        <v>148680</v>
      </c>
    </row>
    <row r="31" spans="2:17" x14ac:dyDescent="0.3">
      <c r="B31" s="1">
        <v>20</v>
      </c>
      <c r="C31" s="2" t="s">
        <v>13</v>
      </c>
      <c r="D31" s="3" t="s">
        <v>282</v>
      </c>
      <c r="E31" s="3">
        <v>91.5</v>
      </c>
      <c r="F31" s="3" t="s">
        <v>277</v>
      </c>
      <c r="G31" s="9" t="s">
        <v>66</v>
      </c>
      <c r="H31" s="9" t="s">
        <v>298</v>
      </c>
      <c r="I31" s="9">
        <v>2</v>
      </c>
      <c r="J31" s="4">
        <v>15</v>
      </c>
      <c r="K31" s="4">
        <v>10</v>
      </c>
      <c r="L31" s="4">
        <v>30</v>
      </c>
      <c r="M31" s="5">
        <f t="shared" si="0"/>
        <v>4500</v>
      </c>
      <c r="N31" s="6">
        <v>28</v>
      </c>
      <c r="O31" s="7">
        <f t="shared" si="1"/>
        <v>126000</v>
      </c>
      <c r="P31" s="7">
        <f t="shared" si="2"/>
        <v>22680</v>
      </c>
      <c r="Q31" s="8">
        <f t="shared" si="3"/>
        <v>148680</v>
      </c>
    </row>
    <row r="32" spans="2:17" x14ac:dyDescent="0.3">
      <c r="B32" s="1">
        <v>21</v>
      </c>
      <c r="C32" s="2" t="s">
        <v>13</v>
      </c>
      <c r="D32" s="3" t="s">
        <v>262</v>
      </c>
      <c r="E32" s="3">
        <v>93.9</v>
      </c>
      <c r="F32" s="3" t="s">
        <v>277</v>
      </c>
      <c r="G32" s="9" t="s">
        <v>66</v>
      </c>
      <c r="H32" s="9" t="s">
        <v>299</v>
      </c>
      <c r="I32" s="9">
        <v>1</v>
      </c>
      <c r="J32" s="4">
        <v>15</v>
      </c>
      <c r="K32" s="4">
        <v>10</v>
      </c>
      <c r="L32" s="4">
        <v>30</v>
      </c>
      <c r="M32" s="5">
        <f t="shared" si="0"/>
        <v>4500</v>
      </c>
      <c r="N32" s="6">
        <v>28</v>
      </c>
      <c r="O32" s="7">
        <f t="shared" si="1"/>
        <v>126000</v>
      </c>
      <c r="P32" s="7">
        <f t="shared" si="2"/>
        <v>22680</v>
      </c>
      <c r="Q32" s="8">
        <f t="shared" si="3"/>
        <v>148680</v>
      </c>
    </row>
    <row r="33" spans="2:17" x14ac:dyDescent="0.3">
      <c r="B33" s="1">
        <v>22</v>
      </c>
      <c r="C33" s="2" t="s">
        <v>13</v>
      </c>
      <c r="D33" s="3" t="s">
        <v>283</v>
      </c>
      <c r="E33" s="3">
        <v>93.5</v>
      </c>
      <c r="F33" s="3" t="s">
        <v>278</v>
      </c>
      <c r="G33" s="9" t="s">
        <v>66</v>
      </c>
      <c r="H33" s="9" t="s">
        <v>293</v>
      </c>
      <c r="I33" s="9">
        <v>1</v>
      </c>
      <c r="J33" s="4">
        <v>15</v>
      </c>
      <c r="K33" s="4">
        <v>10</v>
      </c>
      <c r="L33" s="4">
        <v>30</v>
      </c>
      <c r="M33" s="5">
        <f t="shared" si="0"/>
        <v>4500</v>
      </c>
      <c r="N33" s="6">
        <v>35</v>
      </c>
      <c r="O33" s="7">
        <f t="shared" si="1"/>
        <v>157500</v>
      </c>
      <c r="P33" s="7">
        <f t="shared" si="2"/>
        <v>28350</v>
      </c>
      <c r="Q33" s="8">
        <f t="shared" si="3"/>
        <v>185850</v>
      </c>
    </row>
    <row r="34" spans="2:17" x14ac:dyDescent="0.3">
      <c r="B34" s="1">
        <v>23</v>
      </c>
      <c r="C34" s="2" t="s">
        <v>13</v>
      </c>
      <c r="D34" s="3" t="s">
        <v>120</v>
      </c>
      <c r="E34" s="12">
        <v>95</v>
      </c>
      <c r="F34" s="3" t="s">
        <v>278</v>
      </c>
      <c r="G34" s="9" t="s">
        <v>66</v>
      </c>
      <c r="H34" s="9" t="s">
        <v>300</v>
      </c>
      <c r="I34" s="9">
        <v>3</v>
      </c>
      <c r="J34" s="4">
        <v>15</v>
      </c>
      <c r="K34" s="4">
        <v>10</v>
      </c>
      <c r="L34" s="4">
        <v>30</v>
      </c>
      <c r="M34" s="5">
        <f t="shared" si="0"/>
        <v>4500</v>
      </c>
      <c r="N34" s="6">
        <v>20</v>
      </c>
      <c r="O34" s="7">
        <f t="shared" si="1"/>
        <v>90000</v>
      </c>
      <c r="P34" s="7">
        <f t="shared" si="2"/>
        <v>16200</v>
      </c>
      <c r="Q34" s="8">
        <f t="shared" si="3"/>
        <v>106200</v>
      </c>
    </row>
    <row r="35" spans="2:17" x14ac:dyDescent="0.3">
      <c r="B35" s="1">
        <v>24</v>
      </c>
      <c r="C35" s="2" t="s">
        <v>13</v>
      </c>
      <c r="D35" s="3" t="s">
        <v>282</v>
      </c>
      <c r="E35" s="3">
        <v>106.4</v>
      </c>
      <c r="F35" s="3" t="s">
        <v>278</v>
      </c>
      <c r="G35" s="9" t="s">
        <v>66</v>
      </c>
      <c r="H35" s="9" t="s">
        <v>301</v>
      </c>
      <c r="I35" s="9">
        <v>2</v>
      </c>
      <c r="J35" s="4">
        <v>15</v>
      </c>
      <c r="K35" s="4">
        <v>10</v>
      </c>
      <c r="L35" s="4">
        <v>30</v>
      </c>
      <c r="M35" s="5">
        <f t="shared" si="0"/>
        <v>4500</v>
      </c>
      <c r="N35" s="6">
        <v>30</v>
      </c>
      <c r="O35" s="7">
        <f t="shared" si="1"/>
        <v>135000</v>
      </c>
      <c r="P35" s="7">
        <f t="shared" si="2"/>
        <v>24300</v>
      </c>
      <c r="Q35" s="8">
        <f t="shared" si="3"/>
        <v>159300</v>
      </c>
    </row>
    <row r="36" spans="2:17" x14ac:dyDescent="0.3">
      <c r="B36" s="1">
        <v>25</v>
      </c>
      <c r="C36" s="2" t="s">
        <v>13</v>
      </c>
      <c r="D36" s="3" t="s">
        <v>283</v>
      </c>
      <c r="E36" s="3">
        <v>93.5</v>
      </c>
      <c r="F36" s="3" t="s">
        <v>279</v>
      </c>
      <c r="G36" s="9" t="s">
        <v>66</v>
      </c>
      <c r="H36" s="9" t="s">
        <v>15</v>
      </c>
      <c r="I36" s="9" t="s">
        <v>15</v>
      </c>
      <c r="J36" s="4">
        <v>15</v>
      </c>
      <c r="K36" s="4">
        <v>10</v>
      </c>
      <c r="L36" s="4">
        <v>30</v>
      </c>
      <c r="M36" s="5">
        <f t="shared" si="0"/>
        <v>4500</v>
      </c>
      <c r="N36" s="6">
        <v>25</v>
      </c>
      <c r="O36" s="7">
        <f t="shared" si="1"/>
        <v>112500</v>
      </c>
      <c r="P36" s="7">
        <f t="shared" si="2"/>
        <v>20250</v>
      </c>
      <c r="Q36" s="8">
        <f t="shared" si="3"/>
        <v>132750</v>
      </c>
    </row>
    <row r="37" spans="2:17" x14ac:dyDescent="0.3">
      <c r="B37" s="1">
        <v>26</v>
      </c>
      <c r="C37" s="2" t="s">
        <v>13</v>
      </c>
      <c r="D37" s="3" t="s">
        <v>120</v>
      </c>
      <c r="E37" s="12">
        <v>95</v>
      </c>
      <c r="F37" s="3" t="s">
        <v>279</v>
      </c>
      <c r="G37" s="9" t="s">
        <v>66</v>
      </c>
      <c r="H37" s="9" t="s">
        <v>15</v>
      </c>
      <c r="I37" s="9" t="s">
        <v>15</v>
      </c>
      <c r="J37" s="4">
        <v>15</v>
      </c>
      <c r="K37" s="4">
        <v>10</v>
      </c>
      <c r="L37" s="4">
        <v>30</v>
      </c>
      <c r="M37" s="5">
        <f t="shared" si="0"/>
        <v>4500</v>
      </c>
      <c r="N37" s="6">
        <v>20</v>
      </c>
      <c r="O37" s="7">
        <f t="shared" si="1"/>
        <v>90000</v>
      </c>
      <c r="P37" s="7">
        <f t="shared" si="2"/>
        <v>16200</v>
      </c>
      <c r="Q37" s="8">
        <f t="shared" si="3"/>
        <v>106200</v>
      </c>
    </row>
    <row r="38" spans="2:17" x14ac:dyDescent="0.3">
      <c r="B38" s="1">
        <v>27</v>
      </c>
      <c r="C38" s="2" t="s">
        <v>13</v>
      </c>
      <c r="D38" s="3" t="s">
        <v>282</v>
      </c>
      <c r="E38" s="3">
        <v>106.4</v>
      </c>
      <c r="F38" s="3" t="s">
        <v>279</v>
      </c>
      <c r="G38" s="9" t="s">
        <v>66</v>
      </c>
      <c r="H38" s="9" t="s">
        <v>15</v>
      </c>
      <c r="I38" s="9" t="s">
        <v>15</v>
      </c>
      <c r="J38" s="4">
        <v>15</v>
      </c>
      <c r="K38" s="4">
        <v>10</v>
      </c>
      <c r="L38" s="4">
        <v>30</v>
      </c>
      <c r="M38" s="5">
        <f t="shared" si="0"/>
        <v>4500</v>
      </c>
      <c r="N38" s="6">
        <v>20</v>
      </c>
      <c r="O38" s="7">
        <f t="shared" si="1"/>
        <v>90000</v>
      </c>
      <c r="P38" s="7">
        <f t="shared" si="2"/>
        <v>16200</v>
      </c>
      <c r="Q38" s="8">
        <f t="shared" si="3"/>
        <v>106200</v>
      </c>
    </row>
    <row r="39" spans="2:17" x14ac:dyDescent="0.3">
      <c r="B39" s="1">
        <v>28</v>
      </c>
      <c r="C39" s="2" t="s">
        <v>13</v>
      </c>
      <c r="D39" s="3" t="s">
        <v>283</v>
      </c>
      <c r="E39" s="3">
        <v>93.5</v>
      </c>
      <c r="F39" s="3" t="s">
        <v>280</v>
      </c>
      <c r="G39" s="9" t="s">
        <v>66</v>
      </c>
      <c r="H39" s="9" t="s">
        <v>15</v>
      </c>
      <c r="I39" s="9" t="s">
        <v>15</v>
      </c>
      <c r="J39" s="4">
        <v>15</v>
      </c>
      <c r="K39" s="4">
        <v>10</v>
      </c>
      <c r="L39" s="4">
        <v>30</v>
      </c>
      <c r="M39" s="5">
        <f t="shared" si="0"/>
        <v>4500</v>
      </c>
      <c r="N39" s="6">
        <v>15</v>
      </c>
      <c r="O39" s="7">
        <f t="shared" si="1"/>
        <v>67500</v>
      </c>
      <c r="P39" s="7">
        <f t="shared" si="2"/>
        <v>12150</v>
      </c>
      <c r="Q39" s="8">
        <f t="shared" si="3"/>
        <v>79650</v>
      </c>
    </row>
    <row r="40" spans="2:17" x14ac:dyDescent="0.3">
      <c r="B40" s="1">
        <v>29</v>
      </c>
      <c r="C40" s="2" t="s">
        <v>13</v>
      </c>
      <c r="D40" s="3" t="s">
        <v>282</v>
      </c>
      <c r="E40" s="3">
        <v>106.4</v>
      </c>
      <c r="F40" s="3" t="s">
        <v>280</v>
      </c>
      <c r="G40" s="9" t="s">
        <v>66</v>
      </c>
      <c r="H40" s="9" t="s">
        <v>15</v>
      </c>
      <c r="I40" s="9" t="s">
        <v>15</v>
      </c>
      <c r="J40" s="4">
        <v>15</v>
      </c>
      <c r="K40" s="4">
        <v>10</v>
      </c>
      <c r="L40" s="4">
        <v>30</v>
      </c>
      <c r="M40" s="5">
        <f t="shared" si="0"/>
        <v>4500</v>
      </c>
      <c r="N40" s="6">
        <v>13</v>
      </c>
      <c r="O40" s="7">
        <f t="shared" si="1"/>
        <v>58500</v>
      </c>
      <c r="P40" s="7">
        <f t="shared" si="2"/>
        <v>10530</v>
      </c>
      <c r="Q40" s="8">
        <f t="shared" si="3"/>
        <v>69030</v>
      </c>
    </row>
    <row r="41" spans="2:17" x14ac:dyDescent="0.3">
      <c r="B41" s="1">
        <v>30</v>
      </c>
      <c r="C41" s="2" t="s">
        <v>13</v>
      </c>
      <c r="D41" s="3" t="s">
        <v>282</v>
      </c>
      <c r="E41" s="3">
        <v>91.5</v>
      </c>
      <c r="F41" s="3" t="s">
        <v>281</v>
      </c>
      <c r="G41" s="9" t="s">
        <v>66</v>
      </c>
      <c r="H41" s="9" t="s">
        <v>15</v>
      </c>
      <c r="I41" s="9" t="s">
        <v>15</v>
      </c>
      <c r="J41" s="4">
        <v>15</v>
      </c>
      <c r="K41" s="4">
        <v>10</v>
      </c>
      <c r="L41" s="4">
        <v>30</v>
      </c>
      <c r="M41" s="5">
        <f t="shared" si="0"/>
        <v>4500</v>
      </c>
      <c r="N41" s="6">
        <v>25</v>
      </c>
      <c r="O41" s="7">
        <f t="shared" si="1"/>
        <v>112500</v>
      </c>
      <c r="P41" s="7">
        <f t="shared" si="2"/>
        <v>20250</v>
      </c>
      <c r="Q41" s="8">
        <f t="shared" si="3"/>
        <v>132750</v>
      </c>
    </row>
    <row r="42" spans="2:17" x14ac:dyDescent="0.3">
      <c r="B42" s="1">
        <v>31</v>
      </c>
      <c r="C42" s="2" t="s">
        <v>13</v>
      </c>
      <c r="D42" s="3" t="s">
        <v>262</v>
      </c>
      <c r="E42" s="3">
        <v>93.9</v>
      </c>
      <c r="F42" s="3" t="s">
        <v>281</v>
      </c>
      <c r="G42" s="9" t="s">
        <v>66</v>
      </c>
      <c r="H42" s="9" t="s">
        <v>15</v>
      </c>
      <c r="I42" s="9" t="s">
        <v>15</v>
      </c>
      <c r="J42" s="4">
        <v>15</v>
      </c>
      <c r="K42" s="4">
        <v>10</v>
      </c>
      <c r="L42" s="4">
        <v>30</v>
      </c>
      <c r="M42" s="5">
        <f t="shared" si="0"/>
        <v>4500</v>
      </c>
      <c r="N42" s="6">
        <v>30</v>
      </c>
      <c r="O42" s="7">
        <f t="shared" si="1"/>
        <v>135000</v>
      </c>
      <c r="P42" s="7">
        <f t="shared" si="2"/>
        <v>24300</v>
      </c>
      <c r="Q42" s="8">
        <f t="shared" si="3"/>
        <v>159300</v>
      </c>
    </row>
    <row r="43" spans="2:17" ht="16.2" thickBot="1" x14ac:dyDescent="0.35">
      <c r="B43" s="88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90"/>
    </row>
    <row r="44" spans="2:17" ht="15" thickBot="1" x14ac:dyDescent="0.35">
      <c r="B44" s="91" t="s">
        <v>16</v>
      </c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3"/>
    </row>
    <row r="45" spans="2:17" x14ac:dyDescent="0.3">
      <c r="B45" s="94" t="s">
        <v>17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6"/>
    </row>
    <row r="46" spans="2:17" x14ac:dyDescent="0.3">
      <c r="B46" s="69" t="s">
        <v>18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1"/>
    </row>
    <row r="47" spans="2:17" ht="15" thickBot="1" x14ac:dyDescent="0.35"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4"/>
    </row>
  </sheetData>
  <mergeCells count="6">
    <mergeCell ref="B46:Q46"/>
    <mergeCell ref="B47:Q47"/>
    <mergeCell ref="B12:Q12"/>
    <mergeCell ref="B43:Q43"/>
    <mergeCell ref="B44:Q44"/>
    <mergeCell ref="B45:Q4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30F0-EED3-46D6-BFF9-FC9FB3A61977}">
  <dimension ref="B1:Q27"/>
  <sheetViews>
    <sheetView zoomScale="77" workbookViewId="0">
      <selection activeCell="H4" sqref="H4"/>
    </sheetView>
  </sheetViews>
  <sheetFormatPr defaultColWidth="8.77734375" defaultRowHeight="14.4" x14ac:dyDescent="0.3"/>
  <cols>
    <col min="3" max="3" width="16.33203125" bestFit="1" customWidth="1"/>
    <col min="4" max="4" width="20.44140625" customWidth="1"/>
    <col min="5" max="5" width="14.33203125" customWidth="1"/>
    <col min="6" max="6" width="13.6640625" customWidth="1"/>
    <col min="7" max="8" width="14.6640625" customWidth="1"/>
    <col min="9" max="9" width="8.109375" customWidth="1"/>
    <col min="10" max="10" width="9.88671875" bestFit="1" customWidth="1"/>
    <col min="11" max="12" width="10.77734375" bestFit="1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7.4" thickBot="1" x14ac:dyDescent="0.35">
      <c r="B13" s="66" t="s">
        <v>1</v>
      </c>
      <c r="C13" s="67" t="s">
        <v>19</v>
      </c>
      <c r="D13" s="67" t="s">
        <v>2</v>
      </c>
      <c r="E13" s="67" t="s">
        <v>20</v>
      </c>
      <c r="F13" s="67" t="s">
        <v>21</v>
      </c>
      <c r="G13" s="67" t="s">
        <v>3</v>
      </c>
      <c r="H13" s="67" t="s">
        <v>405</v>
      </c>
      <c r="I13" s="67" t="s">
        <v>4</v>
      </c>
      <c r="J13" s="67" t="s">
        <v>5</v>
      </c>
      <c r="K13" s="67" t="s">
        <v>6</v>
      </c>
      <c r="L13" s="67" t="s">
        <v>7</v>
      </c>
      <c r="M13" s="67" t="s">
        <v>8</v>
      </c>
      <c r="N13" s="67" t="s">
        <v>9</v>
      </c>
      <c r="O13" s="67" t="s">
        <v>10</v>
      </c>
      <c r="P13" s="67" t="s">
        <v>11</v>
      </c>
      <c r="Q13" s="68" t="s">
        <v>12</v>
      </c>
    </row>
    <row r="14" spans="2:17" x14ac:dyDescent="0.3">
      <c r="B14" s="45">
        <v>1</v>
      </c>
      <c r="C14" s="46" t="s">
        <v>13</v>
      </c>
      <c r="D14" s="47" t="s">
        <v>44</v>
      </c>
      <c r="E14" s="47">
        <v>91.1</v>
      </c>
      <c r="F14" s="47" t="s">
        <v>266</v>
      </c>
      <c r="G14" s="48" t="s">
        <v>67</v>
      </c>
      <c r="H14" s="48" t="s">
        <v>271</v>
      </c>
      <c r="I14" s="48">
        <v>4</v>
      </c>
      <c r="J14" s="49">
        <v>15</v>
      </c>
      <c r="K14" s="49">
        <v>10</v>
      </c>
      <c r="L14" s="49">
        <v>30</v>
      </c>
      <c r="M14" s="50">
        <f t="shared" ref="M14:M22" si="0">J14*K14*L14</f>
        <v>4500</v>
      </c>
      <c r="N14" s="51">
        <v>35</v>
      </c>
      <c r="O14" s="52">
        <f>N14*M14</f>
        <v>157500</v>
      </c>
      <c r="P14" s="52">
        <f>O14*18%</f>
        <v>28350</v>
      </c>
      <c r="Q14" s="53">
        <f>O14+P14</f>
        <v>185850</v>
      </c>
    </row>
    <row r="15" spans="2:17" x14ac:dyDescent="0.3">
      <c r="B15" s="1">
        <v>2</v>
      </c>
      <c r="C15" s="2" t="s">
        <v>13</v>
      </c>
      <c r="D15" s="3" t="s">
        <v>46</v>
      </c>
      <c r="E15" s="3">
        <v>92.7</v>
      </c>
      <c r="F15" s="3" t="s">
        <v>266</v>
      </c>
      <c r="G15" s="9" t="s">
        <v>67</v>
      </c>
      <c r="H15" s="9" t="s">
        <v>269</v>
      </c>
      <c r="I15" s="9">
        <v>3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35</v>
      </c>
      <c r="O15" s="7">
        <f t="shared" ref="O15:O22" si="1">N15*M15</f>
        <v>157500</v>
      </c>
      <c r="P15" s="7">
        <f t="shared" ref="P15:P22" si="2">O15*18%</f>
        <v>28350</v>
      </c>
      <c r="Q15" s="8">
        <f t="shared" ref="Q15:Q22" si="3">O15+P15</f>
        <v>185850</v>
      </c>
    </row>
    <row r="16" spans="2:17" x14ac:dyDescent="0.3">
      <c r="B16" s="1">
        <v>3</v>
      </c>
      <c r="C16" s="2" t="s">
        <v>13</v>
      </c>
      <c r="D16" s="3" t="s">
        <v>47</v>
      </c>
      <c r="E16" s="3">
        <v>93.5</v>
      </c>
      <c r="F16" s="3" t="s">
        <v>266</v>
      </c>
      <c r="G16" s="9" t="s">
        <v>67</v>
      </c>
      <c r="H16" s="9" t="s">
        <v>268</v>
      </c>
      <c r="I16" s="9">
        <v>2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6">
        <v>45</v>
      </c>
      <c r="O16" s="7">
        <f t="shared" si="1"/>
        <v>202500</v>
      </c>
      <c r="P16" s="7">
        <f t="shared" si="2"/>
        <v>36450</v>
      </c>
      <c r="Q16" s="8">
        <f t="shared" si="3"/>
        <v>238950</v>
      </c>
    </row>
    <row r="17" spans="2:17" x14ac:dyDescent="0.3">
      <c r="B17" s="1">
        <v>4</v>
      </c>
      <c r="C17" s="2" t="s">
        <v>13</v>
      </c>
      <c r="D17" s="3" t="s">
        <v>162</v>
      </c>
      <c r="E17" s="3">
        <v>94.3</v>
      </c>
      <c r="F17" s="3" t="s">
        <v>266</v>
      </c>
      <c r="G17" s="9" t="s">
        <v>67</v>
      </c>
      <c r="H17" s="9" t="s">
        <v>270</v>
      </c>
      <c r="I17" s="9">
        <v>6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25</v>
      </c>
      <c r="O17" s="7">
        <f t="shared" si="1"/>
        <v>112500</v>
      </c>
      <c r="P17" s="7">
        <f t="shared" si="2"/>
        <v>20250</v>
      </c>
      <c r="Q17" s="8">
        <f t="shared" si="3"/>
        <v>132750</v>
      </c>
    </row>
    <row r="18" spans="2:17" x14ac:dyDescent="0.3">
      <c r="B18" s="1">
        <v>5</v>
      </c>
      <c r="C18" s="2" t="s">
        <v>13</v>
      </c>
      <c r="D18" s="3" t="s">
        <v>41</v>
      </c>
      <c r="E18" s="3">
        <v>98.3</v>
      </c>
      <c r="F18" s="3" t="s">
        <v>266</v>
      </c>
      <c r="G18" s="9" t="s">
        <v>67</v>
      </c>
      <c r="H18" s="9" t="s">
        <v>247</v>
      </c>
      <c r="I18" s="9">
        <v>1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6">
        <v>45</v>
      </c>
      <c r="O18" s="7">
        <f t="shared" si="1"/>
        <v>202500</v>
      </c>
      <c r="P18" s="7">
        <f t="shared" si="2"/>
        <v>36450</v>
      </c>
      <c r="Q18" s="8">
        <f t="shared" si="3"/>
        <v>238950</v>
      </c>
    </row>
    <row r="19" spans="2:17" x14ac:dyDescent="0.3">
      <c r="B19" s="1">
        <v>6</v>
      </c>
      <c r="C19" s="2" t="s">
        <v>13</v>
      </c>
      <c r="D19" s="3" t="s">
        <v>164</v>
      </c>
      <c r="E19" s="12">
        <v>95</v>
      </c>
      <c r="F19" s="3" t="s">
        <v>266</v>
      </c>
      <c r="G19" s="9" t="s">
        <v>67</v>
      </c>
      <c r="H19" s="9" t="s">
        <v>180</v>
      </c>
      <c r="I19" s="9">
        <v>5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10">
        <v>45</v>
      </c>
      <c r="O19" s="7">
        <f t="shared" si="1"/>
        <v>202500</v>
      </c>
      <c r="P19" s="7">
        <f t="shared" si="2"/>
        <v>36450</v>
      </c>
      <c r="Q19" s="8">
        <f t="shared" si="3"/>
        <v>238950</v>
      </c>
    </row>
    <row r="20" spans="2:17" x14ac:dyDescent="0.3">
      <c r="B20" s="1">
        <v>7</v>
      </c>
      <c r="C20" s="2" t="s">
        <v>13</v>
      </c>
      <c r="D20" s="9" t="s">
        <v>408</v>
      </c>
      <c r="E20" s="3">
        <v>106.4</v>
      </c>
      <c r="F20" s="9" t="s">
        <v>266</v>
      </c>
      <c r="G20" s="9" t="s">
        <v>67</v>
      </c>
      <c r="H20" s="9" t="s">
        <v>15</v>
      </c>
      <c r="I20" s="9" t="s">
        <v>15</v>
      </c>
      <c r="J20" s="4">
        <v>15</v>
      </c>
      <c r="K20" s="4">
        <v>10</v>
      </c>
      <c r="L20" s="4">
        <v>30</v>
      </c>
      <c r="M20" s="5">
        <f>J20*K20*L20</f>
        <v>4500</v>
      </c>
      <c r="N20" s="10">
        <v>27</v>
      </c>
      <c r="O20" s="7">
        <f>N20*M20</f>
        <v>121500</v>
      </c>
      <c r="P20" s="7">
        <f>O20*18%</f>
        <v>21870</v>
      </c>
      <c r="Q20" s="8">
        <f>O20+P20</f>
        <v>143370</v>
      </c>
    </row>
    <row r="21" spans="2:17" x14ac:dyDescent="0.3">
      <c r="B21" s="1">
        <v>8</v>
      </c>
      <c r="C21" s="2" t="s">
        <v>13</v>
      </c>
      <c r="D21" s="3" t="s">
        <v>41</v>
      </c>
      <c r="E21" s="3">
        <v>91.9</v>
      </c>
      <c r="F21" s="3" t="s">
        <v>267</v>
      </c>
      <c r="G21" s="9" t="s">
        <v>67</v>
      </c>
      <c r="H21" s="9" t="s">
        <v>15</v>
      </c>
      <c r="I21" s="9" t="s">
        <v>15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10">
        <v>27</v>
      </c>
      <c r="O21" s="7">
        <f t="shared" si="1"/>
        <v>121500</v>
      </c>
      <c r="P21" s="7">
        <f t="shared" si="2"/>
        <v>21870</v>
      </c>
      <c r="Q21" s="8">
        <f t="shared" si="3"/>
        <v>143370</v>
      </c>
    </row>
    <row r="22" spans="2:17" ht="15" thickBot="1" x14ac:dyDescent="0.35">
      <c r="B22" s="54">
        <v>9</v>
      </c>
      <c r="C22" s="55" t="s">
        <v>13</v>
      </c>
      <c r="D22" s="56" t="s">
        <v>47</v>
      </c>
      <c r="E22" s="56">
        <v>93.5</v>
      </c>
      <c r="F22" s="56" t="s">
        <v>267</v>
      </c>
      <c r="G22" s="57" t="s">
        <v>67</v>
      </c>
      <c r="H22" s="57" t="s">
        <v>272</v>
      </c>
      <c r="I22" s="57">
        <v>1</v>
      </c>
      <c r="J22" s="58">
        <v>15</v>
      </c>
      <c r="K22" s="58">
        <v>10</v>
      </c>
      <c r="L22" s="58">
        <v>30</v>
      </c>
      <c r="M22" s="59">
        <f t="shared" si="0"/>
        <v>4500</v>
      </c>
      <c r="N22" s="60">
        <v>27</v>
      </c>
      <c r="O22" s="61">
        <f t="shared" si="1"/>
        <v>121500</v>
      </c>
      <c r="P22" s="61">
        <f t="shared" si="2"/>
        <v>21870</v>
      </c>
      <c r="Q22" s="62">
        <f t="shared" si="3"/>
        <v>143370</v>
      </c>
    </row>
    <row r="23" spans="2:17" ht="16.2" thickBot="1" x14ac:dyDescent="0.35">
      <c r="B23" s="100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2"/>
    </row>
    <row r="24" spans="2:17" ht="15" thickBot="1" x14ac:dyDescent="0.35">
      <c r="B24" s="103" t="s">
        <v>16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5"/>
    </row>
    <row r="25" spans="2:17" x14ac:dyDescent="0.3">
      <c r="B25" s="94" t="s">
        <v>17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6"/>
    </row>
    <row r="26" spans="2:17" x14ac:dyDescent="0.3">
      <c r="B26" s="69" t="s">
        <v>18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1"/>
    </row>
    <row r="27" spans="2:17" ht="15" thickBot="1" x14ac:dyDescent="0.35">
      <c r="B27" s="72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4"/>
    </row>
  </sheetData>
  <mergeCells count="6">
    <mergeCell ref="B26:Q26"/>
    <mergeCell ref="B27:Q27"/>
    <mergeCell ref="B12:Q12"/>
    <mergeCell ref="B23:Q23"/>
    <mergeCell ref="B24:Q24"/>
    <mergeCell ref="B25:Q2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89C1-B0B4-4C5B-BD4D-11E141EA62E3}">
  <dimension ref="B1:Q22"/>
  <sheetViews>
    <sheetView zoomScale="82" workbookViewId="0">
      <selection activeCell="I6" sqref="I6"/>
    </sheetView>
  </sheetViews>
  <sheetFormatPr defaultColWidth="8.77734375" defaultRowHeight="14.4" x14ac:dyDescent="0.3"/>
  <cols>
    <col min="3" max="3" width="16.33203125" bestFit="1" customWidth="1"/>
    <col min="4" max="4" width="16.6640625" customWidth="1"/>
    <col min="5" max="5" width="13.6640625" customWidth="1"/>
    <col min="6" max="7" width="14.6640625" customWidth="1"/>
    <col min="8" max="8" width="13.44140625" customWidth="1"/>
    <col min="9" max="9" width="7.77734375" customWidth="1"/>
    <col min="10" max="10" width="12.44140625" customWidth="1"/>
    <col min="11" max="11" width="14" customWidth="1"/>
    <col min="12" max="12" width="14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54" customHeight="1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120</v>
      </c>
      <c r="E14" s="12">
        <v>104</v>
      </c>
      <c r="F14" s="9" t="s">
        <v>68</v>
      </c>
      <c r="G14" s="9" t="s">
        <v>68</v>
      </c>
      <c r="H14" s="9" t="s">
        <v>265</v>
      </c>
      <c r="I14" s="9">
        <v>4</v>
      </c>
      <c r="J14" s="4">
        <v>15</v>
      </c>
      <c r="K14" s="4">
        <v>10</v>
      </c>
      <c r="L14" s="4">
        <v>30</v>
      </c>
      <c r="M14" s="5">
        <f t="shared" ref="M14:M17" si="0">J14*K14*L14</f>
        <v>4500</v>
      </c>
      <c r="N14" s="6">
        <v>15</v>
      </c>
      <c r="O14" s="7">
        <f>N14*M14</f>
        <v>67500</v>
      </c>
      <c r="P14" s="7">
        <f>O14*18%</f>
        <v>12150</v>
      </c>
      <c r="Q14" s="8">
        <f>O14+P14</f>
        <v>79650</v>
      </c>
    </row>
    <row r="15" spans="2:17" x14ac:dyDescent="0.3">
      <c r="B15" s="1">
        <v>2</v>
      </c>
      <c r="C15" s="2" t="s">
        <v>13</v>
      </c>
      <c r="D15" s="3" t="s">
        <v>46</v>
      </c>
      <c r="E15" s="3">
        <v>92.7</v>
      </c>
      <c r="F15" s="9" t="s">
        <v>68</v>
      </c>
      <c r="G15" s="9" t="s">
        <v>68</v>
      </c>
      <c r="H15" s="9" t="s">
        <v>246</v>
      </c>
      <c r="I15" s="9">
        <v>3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15</v>
      </c>
      <c r="O15" s="7">
        <f t="shared" ref="O15:O17" si="1">N15*M15</f>
        <v>67500</v>
      </c>
      <c r="P15" s="7">
        <f t="shared" ref="P15:P17" si="2">O15*18%</f>
        <v>12150</v>
      </c>
      <c r="Q15" s="8">
        <f t="shared" ref="Q15:Q17" si="3">O15+P15</f>
        <v>79650</v>
      </c>
    </row>
    <row r="16" spans="2:17" x14ac:dyDescent="0.3">
      <c r="B16" s="1">
        <v>3</v>
      </c>
      <c r="C16" s="2" t="s">
        <v>13</v>
      </c>
      <c r="D16" s="3" t="s">
        <v>262</v>
      </c>
      <c r="E16" s="3">
        <v>93.5</v>
      </c>
      <c r="F16" s="9" t="s">
        <v>68</v>
      </c>
      <c r="G16" s="9" t="s">
        <v>68</v>
      </c>
      <c r="H16" s="9" t="s">
        <v>93</v>
      </c>
      <c r="I16" s="9">
        <v>1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6">
        <v>20</v>
      </c>
      <c r="O16" s="7">
        <f t="shared" si="1"/>
        <v>90000</v>
      </c>
      <c r="P16" s="7">
        <f t="shared" si="2"/>
        <v>16200</v>
      </c>
      <c r="Q16" s="8">
        <f t="shared" si="3"/>
        <v>106200</v>
      </c>
    </row>
    <row r="17" spans="2:17" x14ac:dyDescent="0.3">
      <c r="B17" s="1">
        <v>4</v>
      </c>
      <c r="C17" s="2" t="s">
        <v>13</v>
      </c>
      <c r="D17" s="3" t="s">
        <v>263</v>
      </c>
      <c r="E17" s="3">
        <v>106.4</v>
      </c>
      <c r="F17" s="9" t="s">
        <v>68</v>
      </c>
      <c r="G17" s="9" t="s">
        <v>68</v>
      </c>
      <c r="H17" s="9" t="s">
        <v>264</v>
      </c>
      <c r="I17" s="9">
        <v>2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15</v>
      </c>
      <c r="O17" s="7">
        <f t="shared" si="1"/>
        <v>67500</v>
      </c>
      <c r="P17" s="7">
        <f t="shared" si="2"/>
        <v>12150</v>
      </c>
      <c r="Q17" s="8">
        <f t="shared" si="3"/>
        <v>79650</v>
      </c>
    </row>
    <row r="18" spans="2:17" ht="16.2" thickBot="1" x14ac:dyDescent="0.35">
      <c r="B18" s="88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90"/>
    </row>
    <row r="19" spans="2:17" ht="15" thickBot="1" x14ac:dyDescent="0.35">
      <c r="B19" s="91" t="s">
        <v>16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3"/>
    </row>
    <row r="20" spans="2:17" x14ac:dyDescent="0.3">
      <c r="B20" s="94" t="s">
        <v>17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6"/>
    </row>
    <row r="21" spans="2:17" x14ac:dyDescent="0.3">
      <c r="B21" s="69" t="s">
        <v>18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1"/>
    </row>
    <row r="22" spans="2:17" ht="15" thickBot="1" x14ac:dyDescent="0.35">
      <c r="B22" s="72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4"/>
    </row>
  </sheetData>
  <mergeCells count="6">
    <mergeCell ref="B21:Q21"/>
    <mergeCell ref="B22:Q22"/>
    <mergeCell ref="B12:Q12"/>
    <mergeCell ref="B18:Q18"/>
    <mergeCell ref="B19:Q19"/>
    <mergeCell ref="B20:Q2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A73C-97E9-4503-A403-13A1A421E6CF}">
  <dimension ref="B1:Q52"/>
  <sheetViews>
    <sheetView zoomScale="63" workbookViewId="0">
      <selection sqref="A1:XFD1048576"/>
    </sheetView>
  </sheetViews>
  <sheetFormatPr defaultColWidth="8.77734375" defaultRowHeight="14.4" x14ac:dyDescent="0.3"/>
  <cols>
    <col min="3" max="3" width="16.33203125" bestFit="1" customWidth="1"/>
    <col min="4" max="4" width="19.44140625" bestFit="1" customWidth="1"/>
    <col min="5" max="5" width="15.33203125" customWidth="1"/>
    <col min="6" max="6" width="19.6640625" customWidth="1"/>
    <col min="7" max="9" width="14.6640625" customWidth="1"/>
    <col min="10" max="10" width="13.44140625" bestFit="1" customWidth="1"/>
    <col min="11" max="11" width="14" customWidth="1"/>
    <col min="12" max="12" width="14.44140625" customWidth="1"/>
    <col min="14" max="14" width="16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44</v>
      </c>
      <c r="E14" s="3">
        <v>91.1</v>
      </c>
      <c r="F14" s="3" t="s">
        <v>231</v>
      </c>
      <c r="G14" s="9" t="s">
        <v>69</v>
      </c>
      <c r="H14" s="9" t="s">
        <v>243</v>
      </c>
      <c r="I14" s="9">
        <v>4</v>
      </c>
      <c r="J14" s="4">
        <v>15</v>
      </c>
      <c r="K14" s="4">
        <v>10</v>
      </c>
      <c r="L14" s="4">
        <v>30</v>
      </c>
      <c r="M14" s="5">
        <f t="shared" ref="M14:M45" si="0">J14*K14*L14</f>
        <v>4500</v>
      </c>
      <c r="N14" s="6">
        <v>18</v>
      </c>
      <c r="O14" s="7">
        <f>N14*M14</f>
        <v>81000</v>
      </c>
      <c r="P14" s="7">
        <f>O14*18%</f>
        <v>14580</v>
      </c>
      <c r="Q14" s="8">
        <f>O14+P14</f>
        <v>95580</v>
      </c>
    </row>
    <row r="15" spans="2:17" x14ac:dyDescent="0.3">
      <c r="B15" s="1">
        <v>2</v>
      </c>
      <c r="C15" s="2" t="s">
        <v>13</v>
      </c>
      <c r="D15" s="3" t="s">
        <v>47</v>
      </c>
      <c r="E15" s="3">
        <v>93.5</v>
      </c>
      <c r="F15" s="3" t="s">
        <v>231</v>
      </c>
      <c r="G15" s="9" t="s">
        <v>69</v>
      </c>
      <c r="H15" s="9" t="s">
        <v>244</v>
      </c>
      <c r="I15" s="9">
        <v>3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18</v>
      </c>
      <c r="O15" s="7">
        <f t="shared" ref="O15:O45" si="1">N15*M15</f>
        <v>81000</v>
      </c>
      <c r="P15" s="7">
        <f t="shared" ref="P15:P45" si="2">O15*18%</f>
        <v>14580</v>
      </c>
      <c r="Q15" s="8">
        <f t="shared" ref="Q15:Q45" si="3">O15+P15</f>
        <v>95580</v>
      </c>
    </row>
    <row r="16" spans="2:17" x14ac:dyDescent="0.3">
      <c r="B16" s="1">
        <v>3</v>
      </c>
      <c r="C16" s="2" t="s">
        <v>13</v>
      </c>
      <c r="D16" s="3" t="s">
        <v>118</v>
      </c>
      <c r="E16" s="3">
        <v>94.3</v>
      </c>
      <c r="F16" s="3" t="s">
        <v>231</v>
      </c>
      <c r="G16" s="9" t="s">
        <v>69</v>
      </c>
      <c r="H16" s="9" t="s">
        <v>245</v>
      </c>
      <c r="I16" s="9">
        <v>2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6">
        <v>18</v>
      </c>
      <c r="O16" s="7">
        <f t="shared" si="1"/>
        <v>81000</v>
      </c>
      <c r="P16" s="7">
        <f t="shared" si="2"/>
        <v>14580</v>
      </c>
      <c r="Q16" s="8">
        <f t="shared" si="3"/>
        <v>95580</v>
      </c>
    </row>
    <row r="17" spans="2:17" x14ac:dyDescent="0.3">
      <c r="B17" s="1">
        <v>4</v>
      </c>
      <c r="C17" s="2" t="s">
        <v>13</v>
      </c>
      <c r="D17" s="3" t="s">
        <v>165</v>
      </c>
      <c r="E17" s="12">
        <v>95</v>
      </c>
      <c r="F17" s="3" t="s">
        <v>231</v>
      </c>
      <c r="G17" s="9" t="s">
        <v>69</v>
      </c>
      <c r="H17" s="9" t="s">
        <v>246</v>
      </c>
      <c r="I17" s="9">
        <v>5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15</v>
      </c>
      <c r="O17" s="7">
        <f t="shared" si="1"/>
        <v>67500</v>
      </c>
      <c r="P17" s="7">
        <f t="shared" si="2"/>
        <v>12150</v>
      </c>
      <c r="Q17" s="8">
        <f t="shared" si="3"/>
        <v>79650</v>
      </c>
    </row>
    <row r="18" spans="2:17" x14ac:dyDescent="0.3">
      <c r="B18" s="1">
        <v>5</v>
      </c>
      <c r="C18" s="2" t="s">
        <v>13</v>
      </c>
      <c r="D18" s="3" t="s">
        <v>120</v>
      </c>
      <c r="E18" s="3">
        <v>98.3</v>
      </c>
      <c r="F18" s="3" t="s">
        <v>231</v>
      </c>
      <c r="G18" s="9" t="s">
        <v>69</v>
      </c>
      <c r="H18" s="9" t="s">
        <v>247</v>
      </c>
      <c r="I18" s="9">
        <v>1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6">
        <v>30</v>
      </c>
      <c r="O18" s="7">
        <f t="shared" si="1"/>
        <v>135000</v>
      </c>
      <c r="P18" s="7">
        <f t="shared" si="2"/>
        <v>24300</v>
      </c>
      <c r="Q18" s="8">
        <f t="shared" si="3"/>
        <v>159300</v>
      </c>
    </row>
    <row r="19" spans="2:17" x14ac:dyDescent="0.3">
      <c r="B19" s="1">
        <v>6</v>
      </c>
      <c r="C19" s="2" t="s">
        <v>13</v>
      </c>
      <c r="D19" s="3" t="s">
        <v>53</v>
      </c>
      <c r="E19" s="12">
        <v>104</v>
      </c>
      <c r="F19" s="3" t="s">
        <v>231</v>
      </c>
      <c r="G19" s="9" t="s">
        <v>69</v>
      </c>
      <c r="H19" s="9" t="s">
        <v>195</v>
      </c>
      <c r="I19" s="9">
        <v>6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6">
        <v>20</v>
      </c>
      <c r="O19" s="7">
        <f t="shared" si="1"/>
        <v>90000</v>
      </c>
      <c r="P19" s="7">
        <f t="shared" si="2"/>
        <v>16200</v>
      </c>
      <c r="Q19" s="8">
        <f t="shared" si="3"/>
        <v>106200</v>
      </c>
    </row>
    <row r="20" spans="2:17" x14ac:dyDescent="0.3">
      <c r="B20" s="1">
        <v>7</v>
      </c>
      <c r="C20" s="2" t="s">
        <v>13</v>
      </c>
      <c r="D20" s="3" t="s">
        <v>120</v>
      </c>
      <c r="E20" s="3">
        <v>92.3</v>
      </c>
      <c r="F20" s="3" t="s">
        <v>232</v>
      </c>
      <c r="G20" s="9" t="s">
        <v>69</v>
      </c>
      <c r="H20" s="9" t="s">
        <v>15</v>
      </c>
      <c r="I20" s="9" t="s">
        <v>15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10">
        <v>8</v>
      </c>
      <c r="O20" s="7">
        <f t="shared" si="1"/>
        <v>36000</v>
      </c>
      <c r="P20" s="7">
        <f t="shared" si="2"/>
        <v>6480</v>
      </c>
      <c r="Q20" s="8">
        <f t="shared" si="3"/>
        <v>42480</v>
      </c>
    </row>
    <row r="21" spans="2:17" x14ac:dyDescent="0.3">
      <c r="B21" s="1">
        <v>8</v>
      </c>
      <c r="C21" s="2" t="s">
        <v>13</v>
      </c>
      <c r="D21" s="3" t="s">
        <v>140</v>
      </c>
      <c r="E21" s="3">
        <v>105.2</v>
      </c>
      <c r="F21" s="3" t="s">
        <v>232</v>
      </c>
      <c r="G21" s="9" t="s">
        <v>69</v>
      </c>
      <c r="H21" s="9" t="s">
        <v>15</v>
      </c>
      <c r="I21" s="9" t="s">
        <v>15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10">
        <v>6</v>
      </c>
      <c r="O21" s="7">
        <f t="shared" si="1"/>
        <v>27000</v>
      </c>
      <c r="P21" s="7">
        <f t="shared" si="2"/>
        <v>4860</v>
      </c>
      <c r="Q21" s="8">
        <f t="shared" si="3"/>
        <v>31860</v>
      </c>
    </row>
    <row r="22" spans="2:17" x14ac:dyDescent="0.3">
      <c r="B22" s="1">
        <v>9</v>
      </c>
      <c r="C22" s="2" t="s">
        <v>13</v>
      </c>
      <c r="D22" s="3" t="s">
        <v>140</v>
      </c>
      <c r="E22" s="3">
        <v>93.1</v>
      </c>
      <c r="F22" s="3" t="s">
        <v>233</v>
      </c>
      <c r="G22" s="9" t="s">
        <v>69</v>
      </c>
      <c r="H22" s="9" t="s">
        <v>15</v>
      </c>
      <c r="I22" s="9" t="s">
        <v>15</v>
      </c>
      <c r="J22" s="4">
        <v>15</v>
      </c>
      <c r="K22" s="4">
        <v>10</v>
      </c>
      <c r="L22" s="4">
        <v>30</v>
      </c>
      <c r="M22" s="5">
        <f t="shared" si="0"/>
        <v>4500</v>
      </c>
      <c r="N22" s="10">
        <v>6</v>
      </c>
      <c r="O22" s="7">
        <f t="shared" si="1"/>
        <v>27000</v>
      </c>
      <c r="P22" s="7">
        <f t="shared" si="2"/>
        <v>4860</v>
      </c>
      <c r="Q22" s="8">
        <f t="shared" si="3"/>
        <v>31860</v>
      </c>
    </row>
    <row r="23" spans="2:17" x14ac:dyDescent="0.3">
      <c r="B23" s="1">
        <v>10</v>
      </c>
      <c r="C23" s="2" t="s">
        <v>13</v>
      </c>
      <c r="D23" s="3" t="s">
        <v>140</v>
      </c>
      <c r="E23" s="3">
        <v>91.9</v>
      </c>
      <c r="F23" s="3" t="s">
        <v>234</v>
      </c>
      <c r="G23" s="9" t="s">
        <v>69</v>
      </c>
      <c r="H23" s="9" t="s">
        <v>15</v>
      </c>
      <c r="I23" s="9" t="s">
        <v>15</v>
      </c>
      <c r="J23" s="4">
        <v>15</v>
      </c>
      <c r="K23" s="4">
        <v>10</v>
      </c>
      <c r="L23" s="4">
        <v>30</v>
      </c>
      <c r="M23" s="5">
        <f t="shared" si="0"/>
        <v>4500</v>
      </c>
      <c r="N23" s="10">
        <v>6</v>
      </c>
      <c r="O23" s="7">
        <f t="shared" si="1"/>
        <v>27000</v>
      </c>
      <c r="P23" s="7">
        <f t="shared" si="2"/>
        <v>4860</v>
      </c>
      <c r="Q23" s="8">
        <f t="shared" si="3"/>
        <v>31860</v>
      </c>
    </row>
    <row r="24" spans="2:17" x14ac:dyDescent="0.3">
      <c r="B24" s="1">
        <v>11</v>
      </c>
      <c r="C24" s="2" t="s">
        <v>13</v>
      </c>
      <c r="D24" s="3" t="s">
        <v>120</v>
      </c>
      <c r="E24" s="12">
        <v>95</v>
      </c>
      <c r="F24" s="3" t="s">
        <v>234</v>
      </c>
      <c r="G24" s="9" t="s">
        <v>69</v>
      </c>
      <c r="H24" s="9" t="s">
        <v>248</v>
      </c>
      <c r="I24" s="9" t="s">
        <v>15</v>
      </c>
      <c r="J24" s="4">
        <v>15</v>
      </c>
      <c r="K24" s="4">
        <v>10</v>
      </c>
      <c r="L24" s="4">
        <v>30</v>
      </c>
      <c r="M24" s="5">
        <f t="shared" si="0"/>
        <v>4500</v>
      </c>
      <c r="N24" s="6">
        <v>7</v>
      </c>
      <c r="O24" s="7">
        <f t="shared" si="1"/>
        <v>31500</v>
      </c>
      <c r="P24" s="7">
        <f t="shared" si="2"/>
        <v>5670</v>
      </c>
      <c r="Q24" s="8">
        <f t="shared" si="3"/>
        <v>37170</v>
      </c>
    </row>
    <row r="25" spans="2:17" x14ac:dyDescent="0.3">
      <c r="B25" s="1">
        <v>12</v>
      </c>
      <c r="C25" s="2" t="s">
        <v>13</v>
      </c>
      <c r="D25" s="3" t="s">
        <v>140</v>
      </c>
      <c r="E25" s="3">
        <v>91.9</v>
      </c>
      <c r="F25" s="3" t="s">
        <v>235</v>
      </c>
      <c r="G25" s="9" t="s">
        <v>69</v>
      </c>
      <c r="H25" s="9" t="s">
        <v>15</v>
      </c>
      <c r="I25" s="9" t="s">
        <v>15</v>
      </c>
      <c r="J25" s="4">
        <v>15</v>
      </c>
      <c r="K25" s="4">
        <v>10</v>
      </c>
      <c r="L25" s="4">
        <v>30</v>
      </c>
      <c r="M25" s="5">
        <f t="shared" si="0"/>
        <v>4500</v>
      </c>
      <c r="N25" s="10">
        <v>6</v>
      </c>
      <c r="O25" s="7">
        <f t="shared" si="1"/>
        <v>27000</v>
      </c>
      <c r="P25" s="7">
        <f t="shared" si="2"/>
        <v>4860</v>
      </c>
      <c r="Q25" s="8">
        <f t="shared" si="3"/>
        <v>31860</v>
      </c>
    </row>
    <row r="26" spans="2:17" x14ac:dyDescent="0.3">
      <c r="B26" s="1">
        <v>13</v>
      </c>
      <c r="C26" s="2" t="s">
        <v>13</v>
      </c>
      <c r="D26" s="3" t="s">
        <v>120</v>
      </c>
      <c r="E26" s="12">
        <v>95</v>
      </c>
      <c r="F26" s="3" t="s">
        <v>235</v>
      </c>
      <c r="G26" s="9" t="s">
        <v>69</v>
      </c>
      <c r="H26" s="9" t="s">
        <v>15</v>
      </c>
      <c r="I26" s="9" t="s">
        <v>15</v>
      </c>
      <c r="J26" s="4">
        <v>15</v>
      </c>
      <c r="K26" s="4">
        <v>10</v>
      </c>
      <c r="L26" s="4">
        <v>30</v>
      </c>
      <c r="M26" s="5">
        <f t="shared" si="0"/>
        <v>4500</v>
      </c>
      <c r="N26" s="6">
        <v>7</v>
      </c>
      <c r="O26" s="7">
        <f t="shared" si="1"/>
        <v>31500</v>
      </c>
      <c r="P26" s="7">
        <f t="shared" si="2"/>
        <v>5670</v>
      </c>
      <c r="Q26" s="8">
        <f t="shared" si="3"/>
        <v>37170</v>
      </c>
    </row>
    <row r="27" spans="2:17" x14ac:dyDescent="0.3">
      <c r="B27" s="1">
        <v>14</v>
      </c>
      <c r="C27" s="2" t="s">
        <v>13</v>
      </c>
      <c r="D27" s="3" t="s">
        <v>120</v>
      </c>
      <c r="E27" s="3">
        <v>91.9</v>
      </c>
      <c r="F27" s="3" t="s">
        <v>236</v>
      </c>
      <c r="G27" s="9" t="s">
        <v>69</v>
      </c>
      <c r="H27" s="9" t="s">
        <v>15</v>
      </c>
      <c r="I27" s="9" t="s">
        <v>15</v>
      </c>
      <c r="J27" s="4">
        <v>15</v>
      </c>
      <c r="K27" s="4">
        <v>10</v>
      </c>
      <c r="L27" s="4">
        <v>30</v>
      </c>
      <c r="M27" s="5">
        <f t="shared" si="0"/>
        <v>4500</v>
      </c>
      <c r="N27" s="6">
        <v>7</v>
      </c>
      <c r="O27" s="7">
        <f t="shared" si="1"/>
        <v>31500</v>
      </c>
      <c r="P27" s="7">
        <f t="shared" si="2"/>
        <v>5670</v>
      </c>
      <c r="Q27" s="8">
        <f t="shared" si="3"/>
        <v>37170</v>
      </c>
    </row>
    <row r="28" spans="2:17" x14ac:dyDescent="0.3">
      <c r="B28" s="1">
        <v>15</v>
      </c>
      <c r="C28" s="2" t="s">
        <v>13</v>
      </c>
      <c r="D28" s="3" t="s">
        <v>140</v>
      </c>
      <c r="E28" s="3">
        <v>92.7</v>
      </c>
      <c r="F28" s="3" t="s">
        <v>236</v>
      </c>
      <c r="G28" s="9" t="s">
        <v>69</v>
      </c>
      <c r="H28" s="9" t="s">
        <v>15</v>
      </c>
      <c r="I28" s="9" t="s">
        <v>15</v>
      </c>
      <c r="J28" s="4">
        <v>15</v>
      </c>
      <c r="K28" s="4">
        <v>10</v>
      </c>
      <c r="L28" s="4">
        <v>30</v>
      </c>
      <c r="M28" s="5">
        <f t="shared" si="0"/>
        <v>4500</v>
      </c>
      <c r="N28" s="10">
        <v>6</v>
      </c>
      <c r="O28" s="7">
        <f t="shared" si="1"/>
        <v>27000</v>
      </c>
      <c r="P28" s="7">
        <f t="shared" si="2"/>
        <v>4860</v>
      </c>
      <c r="Q28" s="8">
        <f t="shared" si="3"/>
        <v>31860</v>
      </c>
    </row>
    <row r="29" spans="2:17" x14ac:dyDescent="0.3">
      <c r="B29" s="1">
        <v>16</v>
      </c>
      <c r="C29" s="2" t="s">
        <v>13</v>
      </c>
      <c r="D29" s="3" t="s">
        <v>120</v>
      </c>
      <c r="E29" s="3">
        <v>93.7</v>
      </c>
      <c r="F29" s="3" t="s">
        <v>237</v>
      </c>
      <c r="G29" s="9" t="s">
        <v>69</v>
      </c>
      <c r="H29" s="9" t="s">
        <v>15</v>
      </c>
      <c r="I29" s="9" t="s">
        <v>15</v>
      </c>
      <c r="J29" s="4">
        <v>15</v>
      </c>
      <c r="K29" s="4">
        <v>10</v>
      </c>
      <c r="L29" s="4">
        <v>30</v>
      </c>
      <c r="M29" s="5">
        <f t="shared" si="0"/>
        <v>4500</v>
      </c>
      <c r="N29" s="6">
        <v>7</v>
      </c>
      <c r="O29" s="7">
        <f t="shared" si="1"/>
        <v>31500</v>
      </c>
      <c r="P29" s="7">
        <f t="shared" si="2"/>
        <v>5670</v>
      </c>
      <c r="Q29" s="8">
        <f t="shared" si="3"/>
        <v>37170</v>
      </c>
    </row>
    <row r="30" spans="2:17" x14ac:dyDescent="0.3">
      <c r="B30" s="1">
        <v>17</v>
      </c>
      <c r="C30" s="2" t="s">
        <v>13</v>
      </c>
      <c r="D30" s="3" t="s">
        <v>140</v>
      </c>
      <c r="E30" s="3">
        <v>93.5</v>
      </c>
      <c r="F30" s="3" t="s">
        <v>238</v>
      </c>
      <c r="G30" s="9" t="s">
        <v>69</v>
      </c>
      <c r="H30" s="9" t="s">
        <v>15</v>
      </c>
      <c r="I30" s="9" t="s">
        <v>15</v>
      </c>
      <c r="J30" s="4">
        <v>15</v>
      </c>
      <c r="K30" s="4">
        <v>10</v>
      </c>
      <c r="L30" s="4">
        <v>30</v>
      </c>
      <c r="M30" s="5">
        <f t="shared" si="0"/>
        <v>4500</v>
      </c>
      <c r="N30" s="10">
        <v>6</v>
      </c>
      <c r="O30" s="7">
        <f t="shared" si="1"/>
        <v>27000</v>
      </c>
      <c r="P30" s="7">
        <f t="shared" si="2"/>
        <v>4860</v>
      </c>
      <c r="Q30" s="8">
        <f t="shared" si="3"/>
        <v>31860</v>
      </c>
    </row>
    <row r="31" spans="2:17" x14ac:dyDescent="0.3">
      <c r="B31" s="1">
        <v>18</v>
      </c>
      <c r="C31" s="2" t="s">
        <v>13</v>
      </c>
      <c r="D31" s="3" t="s">
        <v>46</v>
      </c>
      <c r="E31" s="3">
        <v>92.7</v>
      </c>
      <c r="F31" s="3" t="s">
        <v>239</v>
      </c>
      <c r="G31" s="9" t="s">
        <v>69</v>
      </c>
      <c r="H31" s="9" t="s">
        <v>249</v>
      </c>
      <c r="I31" s="9">
        <v>1</v>
      </c>
      <c r="J31" s="4">
        <v>15</v>
      </c>
      <c r="K31" s="4">
        <v>10</v>
      </c>
      <c r="L31" s="4">
        <v>30</v>
      </c>
      <c r="M31" s="5">
        <f t="shared" si="0"/>
        <v>4500</v>
      </c>
      <c r="N31" s="6">
        <v>7</v>
      </c>
      <c r="O31" s="7">
        <f t="shared" si="1"/>
        <v>31500</v>
      </c>
      <c r="P31" s="7">
        <f t="shared" si="2"/>
        <v>5670</v>
      </c>
      <c r="Q31" s="8">
        <f t="shared" si="3"/>
        <v>37170</v>
      </c>
    </row>
    <row r="32" spans="2:17" x14ac:dyDescent="0.3">
      <c r="B32" s="1">
        <v>19</v>
      </c>
      <c r="C32" s="2" t="s">
        <v>13</v>
      </c>
      <c r="D32" s="3" t="s">
        <v>47</v>
      </c>
      <c r="E32" s="3">
        <v>93.5</v>
      </c>
      <c r="F32" s="3" t="s">
        <v>239</v>
      </c>
      <c r="G32" s="9" t="s">
        <v>69</v>
      </c>
      <c r="H32" s="9" t="s">
        <v>250</v>
      </c>
      <c r="I32" s="9">
        <v>3</v>
      </c>
      <c r="J32" s="4">
        <v>15</v>
      </c>
      <c r="K32" s="4">
        <v>10</v>
      </c>
      <c r="L32" s="4">
        <v>30</v>
      </c>
      <c r="M32" s="5">
        <f t="shared" si="0"/>
        <v>4500</v>
      </c>
      <c r="N32" s="6">
        <v>7</v>
      </c>
      <c r="O32" s="7">
        <f t="shared" si="1"/>
        <v>31500</v>
      </c>
      <c r="P32" s="7">
        <f t="shared" si="2"/>
        <v>5670</v>
      </c>
      <c r="Q32" s="8">
        <f t="shared" si="3"/>
        <v>37170</v>
      </c>
    </row>
    <row r="33" spans="2:17" x14ac:dyDescent="0.3">
      <c r="B33" s="1">
        <v>20</v>
      </c>
      <c r="C33" s="2" t="s">
        <v>13</v>
      </c>
      <c r="D33" s="3" t="s">
        <v>118</v>
      </c>
      <c r="E33" s="3">
        <v>94.3</v>
      </c>
      <c r="F33" s="3" t="s">
        <v>239</v>
      </c>
      <c r="G33" s="9" t="s">
        <v>69</v>
      </c>
      <c r="H33" s="9" t="s">
        <v>15</v>
      </c>
      <c r="I33" s="9" t="s">
        <v>15</v>
      </c>
      <c r="J33" s="4">
        <v>15</v>
      </c>
      <c r="K33" s="4">
        <v>10</v>
      </c>
      <c r="L33" s="4">
        <v>30</v>
      </c>
      <c r="M33" s="5">
        <f t="shared" si="0"/>
        <v>4500</v>
      </c>
      <c r="N33" s="6">
        <v>7</v>
      </c>
      <c r="O33" s="7">
        <f t="shared" si="1"/>
        <v>31500</v>
      </c>
      <c r="P33" s="7">
        <f t="shared" si="2"/>
        <v>5670</v>
      </c>
      <c r="Q33" s="8">
        <f t="shared" si="3"/>
        <v>37170</v>
      </c>
    </row>
    <row r="34" spans="2:17" x14ac:dyDescent="0.3">
      <c r="B34" s="1">
        <v>21</v>
      </c>
      <c r="C34" s="2" t="s">
        <v>13</v>
      </c>
      <c r="D34" s="3" t="s">
        <v>120</v>
      </c>
      <c r="E34" s="3">
        <v>98.3</v>
      </c>
      <c r="F34" s="3" t="s">
        <v>239</v>
      </c>
      <c r="G34" s="9" t="s">
        <v>69</v>
      </c>
      <c r="H34" s="9" t="s">
        <v>251</v>
      </c>
      <c r="I34" s="9">
        <v>2</v>
      </c>
      <c r="J34" s="4">
        <v>15</v>
      </c>
      <c r="K34" s="4">
        <v>10</v>
      </c>
      <c r="L34" s="4">
        <v>30</v>
      </c>
      <c r="M34" s="5">
        <f t="shared" si="0"/>
        <v>4500</v>
      </c>
      <c r="N34" s="6">
        <v>8</v>
      </c>
      <c r="O34" s="7">
        <f t="shared" si="1"/>
        <v>36000</v>
      </c>
      <c r="P34" s="7">
        <f t="shared" si="2"/>
        <v>6480</v>
      </c>
      <c r="Q34" s="8">
        <f t="shared" si="3"/>
        <v>42480</v>
      </c>
    </row>
    <row r="35" spans="2:17" x14ac:dyDescent="0.3">
      <c r="B35" s="1">
        <v>22</v>
      </c>
      <c r="C35" s="2" t="s">
        <v>13</v>
      </c>
      <c r="D35" s="3" t="s">
        <v>44</v>
      </c>
      <c r="E35" s="3">
        <v>91.1</v>
      </c>
      <c r="F35" s="3" t="s">
        <v>240</v>
      </c>
      <c r="G35" s="9" t="s">
        <v>69</v>
      </c>
      <c r="H35" s="9" t="s">
        <v>252</v>
      </c>
      <c r="I35" s="9">
        <v>3</v>
      </c>
      <c r="J35" s="4">
        <v>15</v>
      </c>
      <c r="K35" s="4">
        <v>10</v>
      </c>
      <c r="L35" s="4">
        <v>30</v>
      </c>
      <c r="M35" s="5">
        <f t="shared" si="0"/>
        <v>4500</v>
      </c>
      <c r="N35" s="6">
        <v>7</v>
      </c>
      <c r="O35" s="7">
        <f t="shared" si="1"/>
        <v>31500</v>
      </c>
      <c r="P35" s="7">
        <f t="shared" si="2"/>
        <v>5670</v>
      </c>
      <c r="Q35" s="8">
        <f t="shared" si="3"/>
        <v>37170</v>
      </c>
    </row>
    <row r="36" spans="2:17" x14ac:dyDescent="0.3">
      <c r="B36" s="1">
        <v>23</v>
      </c>
      <c r="C36" s="2" t="s">
        <v>13</v>
      </c>
      <c r="D36" s="3" t="s">
        <v>53</v>
      </c>
      <c r="E36" s="3">
        <v>91.9</v>
      </c>
      <c r="F36" s="3" t="s">
        <v>240</v>
      </c>
      <c r="G36" s="9" t="s">
        <v>69</v>
      </c>
      <c r="H36" s="9" t="s">
        <v>253</v>
      </c>
      <c r="I36" s="9">
        <v>4</v>
      </c>
      <c r="J36" s="4">
        <v>15</v>
      </c>
      <c r="K36" s="4">
        <v>10</v>
      </c>
      <c r="L36" s="4">
        <v>30</v>
      </c>
      <c r="M36" s="5">
        <f t="shared" si="0"/>
        <v>4500</v>
      </c>
      <c r="N36" s="6">
        <v>8</v>
      </c>
      <c r="O36" s="7">
        <f t="shared" si="1"/>
        <v>36000</v>
      </c>
      <c r="P36" s="7">
        <f t="shared" si="2"/>
        <v>6480</v>
      </c>
      <c r="Q36" s="8">
        <f t="shared" si="3"/>
        <v>42480</v>
      </c>
    </row>
    <row r="37" spans="2:17" x14ac:dyDescent="0.3">
      <c r="B37" s="1">
        <v>24</v>
      </c>
      <c r="C37" s="2" t="s">
        <v>13</v>
      </c>
      <c r="D37" s="3" t="s">
        <v>46</v>
      </c>
      <c r="E37" s="3">
        <v>92.7</v>
      </c>
      <c r="F37" s="3" t="s">
        <v>240</v>
      </c>
      <c r="G37" s="9" t="s">
        <v>69</v>
      </c>
      <c r="H37" s="9" t="s">
        <v>254</v>
      </c>
      <c r="I37" s="9">
        <v>6</v>
      </c>
      <c r="J37" s="4">
        <v>15</v>
      </c>
      <c r="K37" s="4">
        <v>10</v>
      </c>
      <c r="L37" s="4">
        <v>30</v>
      </c>
      <c r="M37" s="5">
        <f t="shared" si="0"/>
        <v>4500</v>
      </c>
      <c r="N37" s="6">
        <v>7</v>
      </c>
      <c r="O37" s="7">
        <f t="shared" si="1"/>
        <v>31500</v>
      </c>
      <c r="P37" s="7">
        <f t="shared" si="2"/>
        <v>5670</v>
      </c>
      <c r="Q37" s="8">
        <f t="shared" si="3"/>
        <v>37170</v>
      </c>
    </row>
    <row r="38" spans="2:17" x14ac:dyDescent="0.3">
      <c r="B38" s="1">
        <v>25</v>
      </c>
      <c r="C38" s="2" t="s">
        <v>13</v>
      </c>
      <c r="D38" s="3" t="s">
        <v>118</v>
      </c>
      <c r="E38" s="3">
        <v>94.3</v>
      </c>
      <c r="F38" s="3" t="s">
        <v>240</v>
      </c>
      <c r="G38" s="9" t="s">
        <v>69</v>
      </c>
      <c r="H38" s="9" t="s">
        <v>255</v>
      </c>
      <c r="I38" s="9">
        <v>2</v>
      </c>
      <c r="J38" s="4">
        <v>15</v>
      </c>
      <c r="K38" s="4">
        <v>10</v>
      </c>
      <c r="L38" s="4">
        <v>30</v>
      </c>
      <c r="M38" s="5">
        <f t="shared" si="0"/>
        <v>4500</v>
      </c>
      <c r="N38" s="6">
        <v>7</v>
      </c>
      <c r="O38" s="7">
        <f t="shared" si="1"/>
        <v>31500</v>
      </c>
      <c r="P38" s="7">
        <f t="shared" si="2"/>
        <v>5670</v>
      </c>
      <c r="Q38" s="8">
        <f t="shared" si="3"/>
        <v>37170</v>
      </c>
    </row>
    <row r="39" spans="2:17" x14ac:dyDescent="0.3">
      <c r="B39" s="1">
        <v>26</v>
      </c>
      <c r="C39" s="2" t="s">
        <v>13</v>
      </c>
      <c r="D39" s="3" t="s">
        <v>47</v>
      </c>
      <c r="E39" s="12">
        <v>95</v>
      </c>
      <c r="F39" s="3" t="s">
        <v>240</v>
      </c>
      <c r="G39" s="9" t="s">
        <v>69</v>
      </c>
      <c r="H39" s="9" t="s">
        <v>257</v>
      </c>
      <c r="I39" s="9">
        <v>5</v>
      </c>
      <c r="J39" s="4">
        <v>15</v>
      </c>
      <c r="K39" s="4">
        <v>10</v>
      </c>
      <c r="L39" s="4">
        <v>30</v>
      </c>
      <c r="M39" s="5">
        <f t="shared" si="0"/>
        <v>4500</v>
      </c>
      <c r="N39" s="6">
        <v>8</v>
      </c>
      <c r="O39" s="7">
        <f t="shared" si="1"/>
        <v>36000</v>
      </c>
      <c r="P39" s="7">
        <f t="shared" si="2"/>
        <v>6480</v>
      </c>
      <c r="Q39" s="8">
        <f t="shared" si="3"/>
        <v>42480</v>
      </c>
    </row>
    <row r="40" spans="2:17" x14ac:dyDescent="0.3">
      <c r="B40" s="1">
        <v>27</v>
      </c>
      <c r="C40" s="2" t="s">
        <v>13</v>
      </c>
      <c r="D40" s="3" t="s">
        <v>120</v>
      </c>
      <c r="E40" s="3">
        <v>98.3</v>
      </c>
      <c r="F40" s="3" t="s">
        <v>240</v>
      </c>
      <c r="G40" s="9" t="s">
        <v>69</v>
      </c>
      <c r="H40" s="9" t="s">
        <v>256</v>
      </c>
      <c r="I40" s="9">
        <v>1</v>
      </c>
      <c r="J40" s="4">
        <v>15</v>
      </c>
      <c r="K40" s="4">
        <v>10</v>
      </c>
      <c r="L40" s="4">
        <v>30</v>
      </c>
      <c r="M40" s="5">
        <f t="shared" si="0"/>
        <v>4500</v>
      </c>
      <c r="N40" s="6">
        <v>9</v>
      </c>
      <c r="O40" s="7">
        <f t="shared" si="1"/>
        <v>40500</v>
      </c>
      <c r="P40" s="7">
        <f t="shared" si="2"/>
        <v>7290</v>
      </c>
      <c r="Q40" s="8">
        <f t="shared" si="3"/>
        <v>47790</v>
      </c>
    </row>
    <row r="41" spans="2:17" x14ac:dyDescent="0.3">
      <c r="B41" s="1">
        <v>28</v>
      </c>
      <c r="C41" s="2" t="s">
        <v>13</v>
      </c>
      <c r="D41" s="3" t="s">
        <v>44</v>
      </c>
      <c r="E41" s="3">
        <v>91.1</v>
      </c>
      <c r="F41" s="3" t="s">
        <v>241</v>
      </c>
      <c r="G41" s="9" t="s">
        <v>69</v>
      </c>
      <c r="H41" s="9" t="s">
        <v>261</v>
      </c>
      <c r="I41" s="9">
        <v>4</v>
      </c>
      <c r="J41" s="4">
        <v>15</v>
      </c>
      <c r="K41" s="4">
        <v>10</v>
      </c>
      <c r="L41" s="4">
        <v>30</v>
      </c>
      <c r="M41" s="5">
        <f t="shared" si="0"/>
        <v>4500</v>
      </c>
      <c r="N41" s="6">
        <v>7</v>
      </c>
      <c r="O41" s="7">
        <f t="shared" si="1"/>
        <v>31500</v>
      </c>
      <c r="P41" s="7">
        <f t="shared" si="2"/>
        <v>5670</v>
      </c>
      <c r="Q41" s="8">
        <f t="shared" si="3"/>
        <v>37170</v>
      </c>
    </row>
    <row r="42" spans="2:17" x14ac:dyDescent="0.3">
      <c r="B42" s="1">
        <v>29</v>
      </c>
      <c r="C42" s="2" t="s">
        <v>13</v>
      </c>
      <c r="D42" s="3" t="s">
        <v>46</v>
      </c>
      <c r="E42" s="3">
        <v>92.7</v>
      </c>
      <c r="F42" s="3" t="s">
        <v>241</v>
      </c>
      <c r="G42" s="9" t="s">
        <v>69</v>
      </c>
      <c r="H42" s="9" t="s">
        <v>260</v>
      </c>
      <c r="I42" s="9">
        <v>2</v>
      </c>
      <c r="J42" s="4">
        <v>15</v>
      </c>
      <c r="K42" s="4">
        <v>10</v>
      </c>
      <c r="L42" s="4">
        <v>30</v>
      </c>
      <c r="M42" s="5">
        <f t="shared" si="0"/>
        <v>4500</v>
      </c>
      <c r="N42" s="6">
        <v>7</v>
      </c>
      <c r="O42" s="7">
        <f t="shared" si="1"/>
        <v>31500</v>
      </c>
      <c r="P42" s="7">
        <f t="shared" si="2"/>
        <v>5670</v>
      </c>
      <c r="Q42" s="8">
        <f t="shared" si="3"/>
        <v>37170</v>
      </c>
    </row>
    <row r="43" spans="2:17" x14ac:dyDescent="0.3">
      <c r="B43" s="1">
        <v>30</v>
      </c>
      <c r="C43" s="2" t="s">
        <v>13</v>
      </c>
      <c r="D43" s="3" t="s">
        <v>47</v>
      </c>
      <c r="E43" s="3">
        <v>93.5</v>
      </c>
      <c r="F43" s="3" t="s">
        <v>241</v>
      </c>
      <c r="G43" s="9" t="s">
        <v>69</v>
      </c>
      <c r="H43" s="9" t="s">
        <v>259</v>
      </c>
      <c r="I43" s="9">
        <v>3</v>
      </c>
      <c r="J43" s="4">
        <v>15</v>
      </c>
      <c r="K43" s="4">
        <v>10</v>
      </c>
      <c r="L43" s="4">
        <v>30</v>
      </c>
      <c r="M43" s="5">
        <f t="shared" si="0"/>
        <v>4500</v>
      </c>
      <c r="N43" s="6">
        <v>8</v>
      </c>
      <c r="O43" s="7">
        <f t="shared" si="1"/>
        <v>36000</v>
      </c>
      <c r="P43" s="7">
        <f t="shared" si="2"/>
        <v>6480</v>
      </c>
      <c r="Q43" s="8">
        <f t="shared" si="3"/>
        <v>42480</v>
      </c>
    </row>
    <row r="44" spans="2:17" x14ac:dyDescent="0.3">
      <c r="B44" s="1">
        <v>31</v>
      </c>
      <c r="C44" s="2" t="s">
        <v>13</v>
      </c>
      <c r="D44" s="3" t="s">
        <v>120</v>
      </c>
      <c r="E44" s="3">
        <v>98.3</v>
      </c>
      <c r="F44" s="3" t="s">
        <v>241</v>
      </c>
      <c r="G44" s="9" t="s">
        <v>69</v>
      </c>
      <c r="H44" s="9" t="s">
        <v>258</v>
      </c>
      <c r="I44" s="9">
        <v>1</v>
      </c>
      <c r="J44" s="4">
        <v>15</v>
      </c>
      <c r="K44" s="4">
        <v>10</v>
      </c>
      <c r="L44" s="4">
        <v>30</v>
      </c>
      <c r="M44" s="5">
        <f t="shared" si="0"/>
        <v>4500</v>
      </c>
      <c r="N44" s="6">
        <v>9</v>
      </c>
      <c r="O44" s="7">
        <f t="shared" si="1"/>
        <v>40500</v>
      </c>
      <c r="P44" s="7">
        <f t="shared" si="2"/>
        <v>7290</v>
      </c>
      <c r="Q44" s="8">
        <f t="shared" si="3"/>
        <v>47790</v>
      </c>
    </row>
    <row r="45" spans="2:17" x14ac:dyDescent="0.3">
      <c r="B45" s="1">
        <v>32</v>
      </c>
      <c r="C45" s="2" t="s">
        <v>13</v>
      </c>
      <c r="D45" s="3" t="s">
        <v>140</v>
      </c>
      <c r="E45" s="3">
        <v>93.5</v>
      </c>
      <c r="F45" s="3" t="s">
        <v>242</v>
      </c>
      <c r="G45" s="9" t="s">
        <v>69</v>
      </c>
      <c r="H45" s="9" t="s">
        <v>15</v>
      </c>
      <c r="I45" s="9" t="s">
        <v>15</v>
      </c>
      <c r="J45" s="4">
        <v>15</v>
      </c>
      <c r="K45" s="4">
        <v>10</v>
      </c>
      <c r="L45" s="4">
        <v>30</v>
      </c>
      <c r="M45" s="5">
        <f t="shared" si="0"/>
        <v>4500</v>
      </c>
      <c r="N45" s="10">
        <v>6</v>
      </c>
      <c r="O45" s="7">
        <f t="shared" si="1"/>
        <v>27000</v>
      </c>
      <c r="P45" s="7">
        <f t="shared" si="2"/>
        <v>4860</v>
      </c>
      <c r="Q45" s="8">
        <f t="shared" si="3"/>
        <v>31860</v>
      </c>
    </row>
    <row r="46" spans="2:17" x14ac:dyDescent="0.3">
      <c r="B46" s="1">
        <v>33</v>
      </c>
      <c r="C46" s="2" t="s">
        <v>13</v>
      </c>
      <c r="D46" s="44" t="s">
        <v>118</v>
      </c>
      <c r="E46" s="3">
        <v>94.3</v>
      </c>
      <c r="F46" s="44" t="s">
        <v>406</v>
      </c>
      <c r="G46" s="9" t="s">
        <v>69</v>
      </c>
      <c r="H46" s="9" t="s">
        <v>15</v>
      </c>
      <c r="I46" s="9" t="s">
        <v>15</v>
      </c>
      <c r="J46" s="4">
        <v>15</v>
      </c>
      <c r="K46" s="4">
        <v>10</v>
      </c>
      <c r="L46" s="4">
        <v>30</v>
      </c>
      <c r="M46" s="5">
        <f t="shared" ref="M46" si="4">J46*K46*L46</f>
        <v>4500</v>
      </c>
      <c r="N46" s="10">
        <v>6</v>
      </c>
      <c r="O46" s="7">
        <f t="shared" ref="O46" si="5">N46*M46</f>
        <v>27000</v>
      </c>
      <c r="P46" s="7">
        <f t="shared" ref="P46" si="6">O46*18%</f>
        <v>4860</v>
      </c>
      <c r="Q46" s="8">
        <f t="shared" ref="Q46" si="7">O46+P46</f>
        <v>31860</v>
      </c>
    </row>
    <row r="47" spans="2:17" x14ac:dyDescent="0.3">
      <c r="B47" s="1">
        <v>34</v>
      </c>
      <c r="C47" s="2" t="s">
        <v>13</v>
      </c>
      <c r="D47" s="44" t="s">
        <v>118</v>
      </c>
      <c r="E47" s="3">
        <v>94.3</v>
      </c>
      <c r="F47" s="44" t="s">
        <v>407</v>
      </c>
      <c r="G47" s="9" t="s">
        <v>69</v>
      </c>
      <c r="H47" s="9" t="s">
        <v>15</v>
      </c>
      <c r="I47" s="9" t="s">
        <v>15</v>
      </c>
      <c r="J47" s="4">
        <v>15</v>
      </c>
      <c r="K47" s="4">
        <v>10</v>
      </c>
      <c r="L47" s="4">
        <v>30</v>
      </c>
      <c r="M47" s="5">
        <f t="shared" ref="M47" si="8">J47*K47*L47</f>
        <v>4500</v>
      </c>
      <c r="N47" s="10">
        <v>6</v>
      </c>
      <c r="O47" s="7">
        <f t="shared" ref="O47" si="9">N47*M47</f>
        <v>27000</v>
      </c>
      <c r="P47" s="7">
        <f t="shared" ref="P47" si="10">O47*18%</f>
        <v>4860</v>
      </c>
      <c r="Q47" s="8">
        <f t="shared" ref="Q47" si="11">O47+P47</f>
        <v>31860</v>
      </c>
    </row>
    <row r="48" spans="2:17" ht="16.2" thickBot="1" x14ac:dyDescent="0.35">
      <c r="B48" s="88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90"/>
    </row>
    <row r="49" spans="2:17" ht="15" thickBot="1" x14ac:dyDescent="0.35">
      <c r="B49" s="91" t="s">
        <v>16</v>
      </c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3"/>
    </row>
    <row r="50" spans="2:17" x14ac:dyDescent="0.3">
      <c r="B50" s="94" t="s">
        <v>17</v>
      </c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6"/>
    </row>
    <row r="51" spans="2:17" x14ac:dyDescent="0.3">
      <c r="B51" s="69" t="s">
        <v>18</v>
      </c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1"/>
    </row>
    <row r="52" spans="2:17" ht="15" thickBot="1" x14ac:dyDescent="0.35">
      <c r="B52" s="72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4"/>
    </row>
  </sheetData>
  <mergeCells count="6">
    <mergeCell ref="B51:Q51"/>
    <mergeCell ref="B52:Q52"/>
    <mergeCell ref="B12:Q12"/>
    <mergeCell ref="B48:Q48"/>
    <mergeCell ref="B49:Q49"/>
    <mergeCell ref="B50:Q5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0304-3B31-43E0-B853-6465354A9690}">
  <dimension ref="B1:Q32"/>
  <sheetViews>
    <sheetView zoomScale="72" workbookViewId="0">
      <selection activeCell="H6" sqref="H6"/>
    </sheetView>
  </sheetViews>
  <sheetFormatPr defaultColWidth="8.77734375" defaultRowHeight="14.4" x14ac:dyDescent="0.3"/>
  <cols>
    <col min="3" max="3" width="16.33203125" bestFit="1" customWidth="1"/>
    <col min="4" max="4" width="19.44140625" bestFit="1" customWidth="1"/>
    <col min="5" max="5" width="12.44140625" customWidth="1"/>
    <col min="6" max="6" width="19.44140625" customWidth="1"/>
    <col min="7" max="7" width="14.6640625" customWidth="1"/>
    <col min="8" max="8" width="13.44140625" customWidth="1"/>
    <col min="9" max="9" width="7" customWidth="1"/>
    <col min="10" max="10" width="12.44140625" customWidth="1"/>
    <col min="11" max="11" width="14" customWidth="1"/>
    <col min="12" max="12" width="14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218</v>
      </c>
      <c r="E14" s="3">
        <v>91.9</v>
      </c>
      <c r="F14" s="3" t="s">
        <v>212</v>
      </c>
      <c r="G14" s="9" t="s">
        <v>71</v>
      </c>
      <c r="H14" s="9" t="s">
        <v>220</v>
      </c>
      <c r="I14" s="9">
        <v>2</v>
      </c>
      <c r="J14" s="4">
        <v>15</v>
      </c>
      <c r="K14" s="4">
        <v>10</v>
      </c>
      <c r="L14" s="4">
        <v>30</v>
      </c>
      <c r="M14" s="5">
        <f t="shared" ref="M14:M27" si="0">J14*K14*L14</f>
        <v>4500</v>
      </c>
      <c r="N14" s="6">
        <v>30</v>
      </c>
      <c r="O14" s="7">
        <f>N14*M14</f>
        <v>135000</v>
      </c>
      <c r="P14" s="7">
        <f>O14*18%</f>
        <v>24300</v>
      </c>
      <c r="Q14" s="8">
        <f>O14+P14</f>
        <v>159300</v>
      </c>
    </row>
    <row r="15" spans="2:17" x14ac:dyDescent="0.3">
      <c r="B15" s="1">
        <v>2</v>
      </c>
      <c r="C15" s="2" t="s">
        <v>13</v>
      </c>
      <c r="D15" s="3" t="s">
        <v>47</v>
      </c>
      <c r="E15" s="3">
        <v>93.5</v>
      </c>
      <c r="F15" s="3" t="s">
        <v>212</v>
      </c>
      <c r="G15" s="9" t="s">
        <v>71</v>
      </c>
      <c r="H15" s="9" t="s">
        <v>219</v>
      </c>
      <c r="I15" s="9">
        <v>1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18</v>
      </c>
      <c r="O15" s="7">
        <f t="shared" ref="O15:O27" si="1">N15*M15</f>
        <v>81000</v>
      </c>
      <c r="P15" s="7">
        <f t="shared" ref="P15:P27" si="2">O15*18%</f>
        <v>14580</v>
      </c>
      <c r="Q15" s="8">
        <f t="shared" ref="Q15:Q27" si="3">P15+O15</f>
        <v>95580</v>
      </c>
    </row>
    <row r="16" spans="2:17" x14ac:dyDescent="0.3">
      <c r="B16" s="1">
        <v>3</v>
      </c>
      <c r="C16" s="2" t="s">
        <v>13</v>
      </c>
      <c r="D16" s="3" t="s">
        <v>218</v>
      </c>
      <c r="E16" s="3">
        <v>91.9</v>
      </c>
      <c r="F16" s="3" t="s">
        <v>213</v>
      </c>
      <c r="G16" s="9" t="s">
        <v>71</v>
      </c>
      <c r="H16" s="9" t="s">
        <v>221</v>
      </c>
      <c r="I16" s="9">
        <v>2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6">
        <v>55</v>
      </c>
      <c r="O16" s="7">
        <f t="shared" si="1"/>
        <v>247500</v>
      </c>
      <c r="P16" s="7">
        <f t="shared" si="2"/>
        <v>44550</v>
      </c>
      <c r="Q16" s="8">
        <f t="shared" si="3"/>
        <v>292050</v>
      </c>
    </row>
    <row r="17" spans="2:17" x14ac:dyDescent="0.3">
      <c r="B17" s="1">
        <v>4</v>
      </c>
      <c r="C17" s="2" t="s">
        <v>13</v>
      </c>
      <c r="D17" s="3" t="s">
        <v>47</v>
      </c>
      <c r="E17" s="3">
        <v>93.5</v>
      </c>
      <c r="F17" s="3" t="s">
        <v>213</v>
      </c>
      <c r="G17" s="9" t="s">
        <v>71</v>
      </c>
      <c r="H17" s="9" t="s">
        <v>222</v>
      </c>
      <c r="I17" s="9">
        <v>1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30</v>
      </c>
      <c r="O17" s="7">
        <f t="shared" si="1"/>
        <v>135000</v>
      </c>
      <c r="P17" s="7">
        <f t="shared" si="2"/>
        <v>24300</v>
      </c>
      <c r="Q17" s="8">
        <f t="shared" si="3"/>
        <v>159300</v>
      </c>
    </row>
    <row r="18" spans="2:17" x14ac:dyDescent="0.3">
      <c r="B18" s="1">
        <v>5</v>
      </c>
      <c r="C18" s="2" t="s">
        <v>13</v>
      </c>
      <c r="D18" s="3" t="s">
        <v>120</v>
      </c>
      <c r="E18" s="12">
        <v>104</v>
      </c>
      <c r="F18" s="3" t="s">
        <v>213</v>
      </c>
      <c r="G18" s="9" t="s">
        <v>71</v>
      </c>
      <c r="H18" s="9" t="s">
        <v>223</v>
      </c>
      <c r="I18" s="9">
        <v>3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6">
        <v>30</v>
      </c>
      <c r="O18" s="7">
        <f t="shared" si="1"/>
        <v>135000</v>
      </c>
      <c r="P18" s="7">
        <f t="shared" si="2"/>
        <v>24300</v>
      </c>
      <c r="Q18" s="8">
        <f t="shared" si="3"/>
        <v>159300</v>
      </c>
    </row>
    <row r="19" spans="2:17" x14ac:dyDescent="0.3">
      <c r="B19" s="1">
        <v>6</v>
      </c>
      <c r="C19" s="2" t="s">
        <v>13</v>
      </c>
      <c r="D19" s="3" t="s">
        <v>218</v>
      </c>
      <c r="E19" s="3">
        <v>91.9</v>
      </c>
      <c r="F19" s="3" t="s">
        <v>214</v>
      </c>
      <c r="G19" s="9" t="s">
        <v>71</v>
      </c>
      <c r="H19" s="9" t="s">
        <v>224</v>
      </c>
      <c r="I19" s="9">
        <v>1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6">
        <v>40</v>
      </c>
      <c r="O19" s="7">
        <f t="shared" si="1"/>
        <v>180000</v>
      </c>
      <c r="P19" s="7">
        <f t="shared" si="2"/>
        <v>32400</v>
      </c>
      <c r="Q19" s="8">
        <f t="shared" si="3"/>
        <v>212400</v>
      </c>
    </row>
    <row r="20" spans="2:17" x14ac:dyDescent="0.3">
      <c r="B20" s="1">
        <v>7</v>
      </c>
      <c r="C20" s="2" t="s">
        <v>13</v>
      </c>
      <c r="D20" s="3" t="s">
        <v>120</v>
      </c>
      <c r="E20" s="3">
        <v>92.7</v>
      </c>
      <c r="F20" s="3" t="s">
        <v>214</v>
      </c>
      <c r="G20" s="9" t="s">
        <v>71</v>
      </c>
      <c r="H20" s="9" t="s">
        <v>225</v>
      </c>
      <c r="I20" s="9">
        <v>3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10">
        <v>25</v>
      </c>
      <c r="O20" s="7">
        <f t="shared" si="1"/>
        <v>112500</v>
      </c>
      <c r="P20" s="7">
        <f t="shared" si="2"/>
        <v>20250</v>
      </c>
      <c r="Q20" s="8">
        <f t="shared" si="3"/>
        <v>132750</v>
      </c>
    </row>
    <row r="21" spans="2:17" x14ac:dyDescent="0.3">
      <c r="B21" s="1">
        <v>8</v>
      </c>
      <c r="C21" s="2" t="s">
        <v>13</v>
      </c>
      <c r="D21" s="3" t="s">
        <v>47</v>
      </c>
      <c r="E21" s="3">
        <v>93.5</v>
      </c>
      <c r="F21" s="3" t="s">
        <v>214</v>
      </c>
      <c r="G21" s="9" t="s">
        <v>71</v>
      </c>
      <c r="H21" s="9" t="s">
        <v>226</v>
      </c>
      <c r="I21" s="9">
        <v>2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10">
        <v>25</v>
      </c>
      <c r="O21" s="7">
        <f t="shared" si="1"/>
        <v>112500</v>
      </c>
      <c r="P21" s="7">
        <f t="shared" si="2"/>
        <v>20250</v>
      </c>
      <c r="Q21" s="8">
        <f t="shared" si="3"/>
        <v>132750</v>
      </c>
    </row>
    <row r="22" spans="2:17" x14ac:dyDescent="0.3">
      <c r="B22" s="1">
        <v>9</v>
      </c>
      <c r="C22" s="2" t="s">
        <v>13</v>
      </c>
      <c r="D22" s="3" t="s">
        <v>46</v>
      </c>
      <c r="E22" s="3">
        <v>92.7</v>
      </c>
      <c r="F22" s="3" t="s">
        <v>215</v>
      </c>
      <c r="G22" s="9" t="s">
        <v>71</v>
      </c>
      <c r="H22" s="9" t="s">
        <v>227</v>
      </c>
      <c r="I22" s="9">
        <v>1</v>
      </c>
      <c r="J22" s="4">
        <v>15</v>
      </c>
      <c r="K22" s="4">
        <v>10</v>
      </c>
      <c r="L22" s="4">
        <v>30</v>
      </c>
      <c r="M22" s="5">
        <f t="shared" si="0"/>
        <v>4500</v>
      </c>
      <c r="N22" s="10">
        <v>15</v>
      </c>
      <c r="O22" s="7">
        <f t="shared" si="1"/>
        <v>67500</v>
      </c>
      <c r="P22" s="7">
        <f t="shared" si="2"/>
        <v>12150</v>
      </c>
      <c r="Q22" s="8">
        <f t="shared" si="3"/>
        <v>79650</v>
      </c>
    </row>
    <row r="23" spans="2:17" x14ac:dyDescent="0.3">
      <c r="B23" s="1">
        <v>10</v>
      </c>
      <c r="C23" s="2" t="s">
        <v>13</v>
      </c>
      <c r="D23" s="3" t="s">
        <v>47</v>
      </c>
      <c r="E23" s="3">
        <v>93.5</v>
      </c>
      <c r="F23" s="3" t="s">
        <v>215</v>
      </c>
      <c r="G23" s="9" t="s">
        <v>71</v>
      </c>
      <c r="H23" s="9" t="s">
        <v>228</v>
      </c>
      <c r="I23" s="9">
        <v>2</v>
      </c>
      <c r="J23" s="4">
        <v>15</v>
      </c>
      <c r="K23" s="4">
        <v>10</v>
      </c>
      <c r="L23" s="4">
        <v>30</v>
      </c>
      <c r="M23" s="5">
        <f t="shared" si="0"/>
        <v>4500</v>
      </c>
      <c r="N23" s="10">
        <v>20</v>
      </c>
      <c r="O23" s="7">
        <f t="shared" si="1"/>
        <v>90000</v>
      </c>
      <c r="P23" s="7">
        <f t="shared" si="2"/>
        <v>16200</v>
      </c>
      <c r="Q23" s="8">
        <f t="shared" si="3"/>
        <v>106200</v>
      </c>
    </row>
    <row r="24" spans="2:17" x14ac:dyDescent="0.3">
      <c r="B24" s="1">
        <v>11</v>
      </c>
      <c r="C24" s="2" t="s">
        <v>13</v>
      </c>
      <c r="D24" s="3" t="s">
        <v>120</v>
      </c>
      <c r="E24" s="3">
        <v>98.3</v>
      </c>
      <c r="F24" s="3" t="s">
        <v>215</v>
      </c>
      <c r="G24" s="9" t="s">
        <v>71</v>
      </c>
      <c r="H24" s="9" t="s">
        <v>229</v>
      </c>
      <c r="I24" s="9">
        <v>3</v>
      </c>
      <c r="J24" s="4">
        <v>15</v>
      </c>
      <c r="K24" s="4">
        <v>10</v>
      </c>
      <c r="L24" s="4">
        <v>30</v>
      </c>
      <c r="M24" s="5">
        <f t="shared" si="0"/>
        <v>4500</v>
      </c>
      <c r="N24" s="10">
        <v>21</v>
      </c>
      <c r="O24" s="7">
        <f t="shared" si="1"/>
        <v>94500</v>
      </c>
      <c r="P24" s="7">
        <f t="shared" si="2"/>
        <v>17010</v>
      </c>
      <c r="Q24" s="8">
        <f t="shared" si="3"/>
        <v>111510</v>
      </c>
    </row>
    <row r="25" spans="2:17" x14ac:dyDescent="0.3">
      <c r="B25" s="1">
        <v>12</v>
      </c>
      <c r="C25" s="2" t="s">
        <v>13</v>
      </c>
      <c r="D25" s="3" t="s">
        <v>47</v>
      </c>
      <c r="E25" s="3">
        <v>91.1</v>
      </c>
      <c r="F25" s="3" t="s">
        <v>216</v>
      </c>
      <c r="G25" s="9" t="s">
        <v>71</v>
      </c>
      <c r="H25" s="9" t="s">
        <v>230</v>
      </c>
      <c r="I25" s="9">
        <v>2</v>
      </c>
      <c r="J25" s="4">
        <v>15</v>
      </c>
      <c r="K25" s="4">
        <v>10</v>
      </c>
      <c r="L25" s="4">
        <v>30</v>
      </c>
      <c r="M25" s="5">
        <f t="shared" si="0"/>
        <v>4500</v>
      </c>
      <c r="N25" s="10">
        <v>32.5</v>
      </c>
      <c r="O25" s="7">
        <f t="shared" si="1"/>
        <v>146250</v>
      </c>
      <c r="P25" s="7">
        <f t="shared" si="2"/>
        <v>26325</v>
      </c>
      <c r="Q25" s="8">
        <f t="shared" si="3"/>
        <v>172575</v>
      </c>
    </row>
    <row r="26" spans="2:17" x14ac:dyDescent="0.3">
      <c r="B26" s="1">
        <v>13</v>
      </c>
      <c r="C26" s="2" t="s">
        <v>13</v>
      </c>
      <c r="D26" s="3" t="s">
        <v>218</v>
      </c>
      <c r="E26" s="3">
        <v>91.9</v>
      </c>
      <c r="F26" s="3" t="s">
        <v>216</v>
      </c>
      <c r="G26" s="9" t="s">
        <v>71</v>
      </c>
      <c r="H26" s="9" t="s">
        <v>219</v>
      </c>
      <c r="I26" s="9">
        <v>1</v>
      </c>
      <c r="J26" s="4">
        <v>15</v>
      </c>
      <c r="K26" s="4">
        <v>10</v>
      </c>
      <c r="L26" s="4">
        <v>30</v>
      </c>
      <c r="M26" s="5">
        <f t="shared" si="0"/>
        <v>4500</v>
      </c>
      <c r="N26" s="11">
        <v>30</v>
      </c>
      <c r="O26" s="7">
        <f t="shared" si="1"/>
        <v>135000</v>
      </c>
      <c r="P26" s="7">
        <f t="shared" si="2"/>
        <v>24300</v>
      </c>
      <c r="Q26" s="8">
        <f t="shared" si="3"/>
        <v>159300</v>
      </c>
    </row>
    <row r="27" spans="2:17" x14ac:dyDescent="0.3">
      <c r="B27" s="1">
        <v>14</v>
      </c>
      <c r="C27" s="2" t="s">
        <v>13</v>
      </c>
      <c r="D27" s="3" t="s">
        <v>218</v>
      </c>
      <c r="E27" s="3">
        <v>91.9</v>
      </c>
      <c r="F27" s="3" t="s">
        <v>217</v>
      </c>
      <c r="G27" s="9" t="s">
        <v>71</v>
      </c>
      <c r="H27" s="9" t="s">
        <v>15</v>
      </c>
      <c r="I27" s="9" t="s">
        <v>15</v>
      </c>
      <c r="J27" s="4">
        <v>15</v>
      </c>
      <c r="K27" s="4">
        <v>10</v>
      </c>
      <c r="L27" s="4">
        <v>30</v>
      </c>
      <c r="M27" s="5">
        <f t="shared" si="0"/>
        <v>4500</v>
      </c>
      <c r="N27" s="6">
        <v>30</v>
      </c>
      <c r="O27" s="7">
        <f t="shared" si="1"/>
        <v>135000</v>
      </c>
      <c r="P27" s="7">
        <f t="shared" si="2"/>
        <v>24300</v>
      </c>
      <c r="Q27" s="8">
        <f t="shared" si="3"/>
        <v>159300</v>
      </c>
    </row>
    <row r="28" spans="2:17" ht="16.2" thickBot="1" x14ac:dyDescent="0.35">
      <c r="B28" s="88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90"/>
    </row>
    <row r="29" spans="2:17" ht="15" thickBot="1" x14ac:dyDescent="0.35">
      <c r="B29" s="91" t="s">
        <v>16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3"/>
    </row>
    <row r="30" spans="2:17" x14ac:dyDescent="0.3">
      <c r="B30" s="94" t="s">
        <v>17</v>
      </c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6"/>
    </row>
    <row r="31" spans="2:17" x14ac:dyDescent="0.3">
      <c r="B31" s="69" t="s">
        <v>18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1"/>
    </row>
    <row r="32" spans="2:17" ht="15" thickBot="1" x14ac:dyDescent="0.35">
      <c r="B32" s="7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4"/>
    </row>
  </sheetData>
  <mergeCells count="6">
    <mergeCell ref="B31:Q31"/>
    <mergeCell ref="B32:Q32"/>
    <mergeCell ref="B12:Q12"/>
    <mergeCell ref="B28:Q28"/>
    <mergeCell ref="B29:Q29"/>
    <mergeCell ref="B30:Q3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AF0C-3107-4EDD-8DE1-C64E583C982E}">
  <dimension ref="B1:P20"/>
  <sheetViews>
    <sheetView zoomScale="74" workbookViewId="0">
      <selection activeCell="B17" sqref="B17:P17"/>
    </sheetView>
  </sheetViews>
  <sheetFormatPr defaultColWidth="8.77734375" defaultRowHeight="14.4" x14ac:dyDescent="0.3"/>
  <cols>
    <col min="3" max="3" width="16.33203125" bestFit="1" customWidth="1"/>
    <col min="4" max="4" width="15" bestFit="1" customWidth="1"/>
    <col min="5" max="5" width="15.44140625" customWidth="1"/>
    <col min="6" max="6" width="9.77734375" customWidth="1"/>
    <col min="7" max="7" width="10.109375" customWidth="1"/>
    <col min="8" max="8" width="13.33203125" customWidth="1"/>
    <col min="9" max="9" width="12.44140625" customWidth="1"/>
    <col min="10" max="10" width="14" customWidth="1"/>
    <col min="11" max="11" width="14.44140625" customWidth="1"/>
    <col min="14" max="14" width="13.6640625" bestFit="1" customWidth="1"/>
    <col min="15" max="15" width="11.77734375" bestFit="1" customWidth="1"/>
    <col min="16" max="16" width="11.44140625" bestFit="1" customWidth="1"/>
    <col min="17" max="17" width="32.77734375" bestFit="1" customWidth="1"/>
  </cols>
  <sheetData>
    <row r="1" spans="2:16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2:16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2:16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2:16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2:16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2:16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spans="2:16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</row>
    <row r="9" spans="2:16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</row>
    <row r="10" spans="2:16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</row>
    <row r="11" spans="2:16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2:16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9"/>
    </row>
    <row r="13" spans="2:16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</v>
      </c>
      <c r="I13" s="64" t="s">
        <v>5</v>
      </c>
      <c r="J13" s="64" t="s">
        <v>6</v>
      </c>
      <c r="K13" s="64" t="s">
        <v>7</v>
      </c>
      <c r="L13" s="64" t="s">
        <v>8</v>
      </c>
      <c r="M13" s="64" t="s">
        <v>9</v>
      </c>
      <c r="N13" s="64" t="s">
        <v>10</v>
      </c>
      <c r="O13" s="64" t="s">
        <v>11</v>
      </c>
      <c r="P13" s="65" t="s">
        <v>12</v>
      </c>
    </row>
    <row r="14" spans="2:16" x14ac:dyDescent="0.3">
      <c r="B14" s="1">
        <v>1</v>
      </c>
      <c r="C14" s="2" t="s">
        <v>13</v>
      </c>
      <c r="D14" s="3" t="s">
        <v>163</v>
      </c>
      <c r="E14" s="3">
        <v>91.9</v>
      </c>
      <c r="F14" s="3" t="s">
        <v>211</v>
      </c>
      <c r="G14" s="9" t="s">
        <v>72</v>
      </c>
      <c r="H14" s="9">
        <v>1</v>
      </c>
      <c r="I14" s="4">
        <v>15</v>
      </c>
      <c r="J14" s="4">
        <v>10</v>
      </c>
      <c r="K14" s="4">
        <v>30</v>
      </c>
      <c r="L14" s="5">
        <f t="shared" ref="L14:L15" si="0">I14*J14*K14</f>
        <v>4500</v>
      </c>
      <c r="M14" s="6">
        <v>17</v>
      </c>
      <c r="N14" s="7">
        <f>M14*L14</f>
        <v>76500</v>
      </c>
      <c r="O14" s="7">
        <f>N14*18%</f>
        <v>13770</v>
      </c>
      <c r="P14" s="8">
        <f>N14+O14</f>
        <v>90270</v>
      </c>
    </row>
    <row r="15" spans="2:16" x14ac:dyDescent="0.3">
      <c r="B15" s="1">
        <v>2</v>
      </c>
      <c r="C15" s="2" t="s">
        <v>13</v>
      </c>
      <c r="D15" s="3" t="s">
        <v>46</v>
      </c>
      <c r="E15" s="3">
        <v>92.7</v>
      </c>
      <c r="F15" s="3" t="s">
        <v>211</v>
      </c>
      <c r="G15" s="9" t="s">
        <v>72</v>
      </c>
      <c r="H15" s="9">
        <v>2</v>
      </c>
      <c r="I15" s="4">
        <v>15</v>
      </c>
      <c r="J15" s="4">
        <v>10</v>
      </c>
      <c r="K15" s="4">
        <v>30</v>
      </c>
      <c r="L15" s="5">
        <f t="shared" si="0"/>
        <v>4500</v>
      </c>
      <c r="M15" s="6">
        <v>17</v>
      </c>
      <c r="N15" s="7">
        <f t="shared" ref="N15" si="1">M15*L15</f>
        <v>76500</v>
      </c>
      <c r="O15" s="7">
        <f t="shared" ref="O15" si="2">N15*18%</f>
        <v>13770</v>
      </c>
      <c r="P15" s="8">
        <f t="shared" ref="P15" si="3">N15+O15</f>
        <v>90270</v>
      </c>
    </row>
    <row r="16" spans="2:16" ht="16.2" thickBot="1" x14ac:dyDescent="0.35">
      <c r="B16" s="88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90"/>
    </row>
    <row r="17" spans="2:16" ht="15" thickBot="1" x14ac:dyDescent="0.35">
      <c r="B17" s="91" t="s">
        <v>16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3"/>
    </row>
    <row r="18" spans="2:16" x14ac:dyDescent="0.3">
      <c r="B18" s="94" t="s">
        <v>17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6"/>
    </row>
    <row r="19" spans="2:16" x14ac:dyDescent="0.3">
      <c r="B19" s="69" t="s">
        <v>18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1"/>
    </row>
    <row r="20" spans="2:16" ht="15" thickBot="1" x14ac:dyDescent="0.35"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</row>
  </sheetData>
  <mergeCells count="6">
    <mergeCell ref="B19:P19"/>
    <mergeCell ref="B20:P20"/>
    <mergeCell ref="B12:P12"/>
    <mergeCell ref="B16:P16"/>
    <mergeCell ref="B17:P17"/>
    <mergeCell ref="B18:P1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C241-57E1-407D-A93F-7B2F5A8431A5}">
  <dimension ref="B1:Q29"/>
  <sheetViews>
    <sheetView zoomScale="77" workbookViewId="0">
      <selection activeCell="B26" sqref="B26:Q26"/>
    </sheetView>
  </sheetViews>
  <sheetFormatPr defaultColWidth="8.77734375" defaultRowHeight="14.4" x14ac:dyDescent="0.3"/>
  <cols>
    <col min="3" max="3" width="16.33203125" bestFit="1" customWidth="1"/>
    <col min="4" max="4" width="19.44140625" bestFit="1" customWidth="1"/>
    <col min="5" max="5" width="16.44140625" customWidth="1"/>
    <col min="6" max="6" width="16.77734375" customWidth="1"/>
    <col min="7" max="8" width="14.6640625" customWidth="1"/>
    <col min="9" max="9" width="8.77734375" customWidth="1"/>
    <col min="10" max="10" width="12.44140625" customWidth="1"/>
    <col min="11" max="11" width="14" customWidth="1"/>
    <col min="12" max="12" width="14.44140625" customWidth="1"/>
    <col min="15" max="15" width="13.6640625" bestFit="1" customWidth="1"/>
    <col min="16" max="16" width="11.77734375" bestFit="1" customWidth="1"/>
    <col min="17" max="17" width="11.44140625" bestFit="1" customWidth="1"/>
    <col min="18" max="18" width="32.7773437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1">
        <v>1</v>
      </c>
      <c r="C14" s="2" t="s">
        <v>13</v>
      </c>
      <c r="D14" s="3" t="s">
        <v>207</v>
      </c>
      <c r="E14" s="3">
        <v>91.9</v>
      </c>
      <c r="F14" s="3" t="s">
        <v>202</v>
      </c>
      <c r="G14" s="9" t="s">
        <v>73</v>
      </c>
      <c r="H14" s="9" t="s">
        <v>15</v>
      </c>
      <c r="I14" s="9" t="s">
        <v>15</v>
      </c>
      <c r="J14" s="4">
        <v>15</v>
      </c>
      <c r="K14" s="4">
        <v>10</v>
      </c>
      <c r="L14" s="4">
        <v>30</v>
      </c>
      <c r="M14" s="5">
        <f t="shared" ref="M14:M24" si="0">J14*K14*L14</f>
        <v>4500</v>
      </c>
      <c r="N14" s="6">
        <v>17</v>
      </c>
      <c r="O14" s="7">
        <f>N14*M14</f>
        <v>76500</v>
      </c>
      <c r="P14" s="7">
        <f>O14*18%</f>
        <v>13770</v>
      </c>
      <c r="Q14" s="8">
        <f>O14+P14</f>
        <v>90270</v>
      </c>
    </row>
    <row r="15" spans="2:17" x14ac:dyDescent="0.3">
      <c r="B15" s="1">
        <v>2</v>
      </c>
      <c r="C15" s="2" t="s">
        <v>13</v>
      </c>
      <c r="D15" s="3" t="s">
        <v>46</v>
      </c>
      <c r="E15" s="3">
        <v>92.7</v>
      </c>
      <c r="F15" s="3" t="s">
        <v>202</v>
      </c>
      <c r="G15" s="9" t="s">
        <v>73</v>
      </c>
      <c r="H15" s="9" t="s">
        <v>153</v>
      </c>
      <c r="I15" s="9">
        <v>2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6">
        <v>12</v>
      </c>
      <c r="O15" s="7">
        <f t="shared" ref="O15:O24" si="1">N15*M15</f>
        <v>54000</v>
      </c>
      <c r="P15" s="7">
        <f t="shared" ref="P15:P24" si="2">O15*18%</f>
        <v>9720</v>
      </c>
      <c r="Q15" s="8">
        <f t="shared" ref="Q15:Q24" si="3">O15+P15</f>
        <v>63720</v>
      </c>
    </row>
    <row r="16" spans="2:17" x14ac:dyDescent="0.3">
      <c r="B16" s="1">
        <v>3</v>
      </c>
      <c r="C16" s="2" t="s">
        <v>13</v>
      </c>
      <c r="D16" s="3" t="s">
        <v>206</v>
      </c>
      <c r="E16" s="3">
        <v>93.5</v>
      </c>
      <c r="F16" s="3" t="s">
        <v>202</v>
      </c>
      <c r="G16" s="9" t="s">
        <v>73</v>
      </c>
      <c r="H16" s="9" t="s">
        <v>104</v>
      </c>
      <c r="I16" s="9">
        <v>3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6">
        <v>15</v>
      </c>
      <c r="O16" s="7">
        <f t="shared" si="1"/>
        <v>67500</v>
      </c>
      <c r="P16" s="7">
        <f t="shared" si="2"/>
        <v>12150</v>
      </c>
      <c r="Q16" s="8">
        <f t="shared" si="3"/>
        <v>79650</v>
      </c>
    </row>
    <row r="17" spans="2:17" x14ac:dyDescent="0.3">
      <c r="B17" s="1">
        <v>4</v>
      </c>
      <c r="C17" s="2" t="s">
        <v>13</v>
      </c>
      <c r="D17" s="3" t="s">
        <v>205</v>
      </c>
      <c r="E17" s="3">
        <v>104</v>
      </c>
      <c r="F17" s="3" t="s">
        <v>202</v>
      </c>
      <c r="G17" s="9" t="s">
        <v>73</v>
      </c>
      <c r="H17" s="9" t="s">
        <v>208</v>
      </c>
      <c r="I17" s="9">
        <v>1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6">
        <v>25</v>
      </c>
      <c r="O17" s="7">
        <f t="shared" si="1"/>
        <v>112500</v>
      </c>
      <c r="P17" s="7">
        <f t="shared" si="2"/>
        <v>20250</v>
      </c>
      <c r="Q17" s="8">
        <f t="shared" si="3"/>
        <v>132750</v>
      </c>
    </row>
    <row r="18" spans="2:17" x14ac:dyDescent="0.3">
      <c r="B18" s="1">
        <v>5</v>
      </c>
      <c r="C18" s="2" t="s">
        <v>13</v>
      </c>
      <c r="D18" s="3" t="s">
        <v>207</v>
      </c>
      <c r="E18" s="3">
        <v>91.9</v>
      </c>
      <c r="F18" s="3" t="s">
        <v>203</v>
      </c>
      <c r="G18" s="9" t="s">
        <v>73</v>
      </c>
      <c r="H18" s="9" t="s">
        <v>15</v>
      </c>
      <c r="I18" s="9" t="s">
        <v>15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6">
        <v>18</v>
      </c>
      <c r="O18" s="7">
        <f t="shared" si="1"/>
        <v>81000</v>
      </c>
      <c r="P18" s="7">
        <f t="shared" si="2"/>
        <v>14580</v>
      </c>
      <c r="Q18" s="8">
        <f t="shared" si="3"/>
        <v>95580</v>
      </c>
    </row>
    <row r="19" spans="2:17" x14ac:dyDescent="0.3">
      <c r="B19" s="1">
        <v>6</v>
      </c>
      <c r="C19" s="2" t="s">
        <v>13</v>
      </c>
      <c r="D19" s="3" t="s">
        <v>206</v>
      </c>
      <c r="E19" s="3">
        <v>93.5</v>
      </c>
      <c r="F19" s="3" t="s">
        <v>203</v>
      </c>
      <c r="G19" s="9" t="s">
        <v>73</v>
      </c>
      <c r="H19" s="9" t="s">
        <v>15</v>
      </c>
      <c r="I19" s="9" t="s">
        <v>15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10">
        <v>18</v>
      </c>
      <c r="O19" s="7">
        <f t="shared" si="1"/>
        <v>81000</v>
      </c>
      <c r="P19" s="7">
        <f t="shared" si="2"/>
        <v>14580</v>
      </c>
      <c r="Q19" s="8">
        <f t="shared" si="3"/>
        <v>95580</v>
      </c>
    </row>
    <row r="20" spans="2:17" x14ac:dyDescent="0.3">
      <c r="B20" s="1">
        <v>7</v>
      </c>
      <c r="C20" s="2" t="s">
        <v>13</v>
      </c>
      <c r="D20" s="3" t="s">
        <v>205</v>
      </c>
      <c r="E20" s="3">
        <v>104</v>
      </c>
      <c r="F20" s="3" t="s">
        <v>203</v>
      </c>
      <c r="G20" s="9" t="s">
        <v>73</v>
      </c>
      <c r="H20" s="9" t="s">
        <v>94</v>
      </c>
      <c r="I20" s="9" t="s">
        <v>15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10">
        <v>25</v>
      </c>
      <c r="O20" s="7">
        <f t="shared" si="1"/>
        <v>112500</v>
      </c>
      <c r="P20" s="7">
        <f t="shared" si="2"/>
        <v>20250</v>
      </c>
      <c r="Q20" s="8">
        <f t="shared" si="3"/>
        <v>132750</v>
      </c>
    </row>
    <row r="21" spans="2:17" x14ac:dyDescent="0.3">
      <c r="B21" s="1">
        <v>8</v>
      </c>
      <c r="C21" s="2" t="s">
        <v>13</v>
      </c>
      <c r="D21" s="3" t="s">
        <v>46</v>
      </c>
      <c r="E21" s="3">
        <v>92.7</v>
      </c>
      <c r="F21" s="3" t="s">
        <v>203</v>
      </c>
      <c r="G21" s="9" t="s">
        <v>73</v>
      </c>
      <c r="H21" s="9" t="s">
        <v>209</v>
      </c>
      <c r="I21" s="9" t="s">
        <v>15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10">
        <v>10</v>
      </c>
      <c r="O21" s="7">
        <f t="shared" si="1"/>
        <v>45000</v>
      </c>
      <c r="P21" s="7">
        <f t="shared" si="2"/>
        <v>8100</v>
      </c>
      <c r="Q21" s="8">
        <f t="shared" si="3"/>
        <v>53100</v>
      </c>
    </row>
    <row r="22" spans="2:17" x14ac:dyDescent="0.3">
      <c r="B22" s="1">
        <v>8</v>
      </c>
      <c r="C22" s="2" t="s">
        <v>13</v>
      </c>
      <c r="D22" s="3" t="s">
        <v>207</v>
      </c>
      <c r="E22" s="3">
        <v>91.9</v>
      </c>
      <c r="F22" s="3" t="s">
        <v>204</v>
      </c>
      <c r="G22" s="9" t="s">
        <v>73</v>
      </c>
      <c r="H22" s="9" t="s">
        <v>15</v>
      </c>
      <c r="I22" s="9" t="s">
        <v>15</v>
      </c>
      <c r="J22" s="4">
        <v>15</v>
      </c>
      <c r="K22" s="4">
        <v>10</v>
      </c>
      <c r="L22" s="4">
        <v>30</v>
      </c>
      <c r="M22" s="5">
        <f t="shared" si="0"/>
        <v>4500</v>
      </c>
      <c r="N22" s="10">
        <v>8</v>
      </c>
      <c r="O22" s="7">
        <f t="shared" si="1"/>
        <v>36000</v>
      </c>
      <c r="P22" s="7">
        <f t="shared" si="2"/>
        <v>6480</v>
      </c>
      <c r="Q22" s="8">
        <f t="shared" si="3"/>
        <v>42480</v>
      </c>
    </row>
    <row r="23" spans="2:17" x14ac:dyDescent="0.3">
      <c r="B23" s="1">
        <v>9</v>
      </c>
      <c r="C23" s="2" t="s">
        <v>13</v>
      </c>
      <c r="D23" s="3" t="s">
        <v>46</v>
      </c>
      <c r="E23" s="3">
        <v>92.7</v>
      </c>
      <c r="F23" s="3" t="s">
        <v>204</v>
      </c>
      <c r="G23" s="9" t="s">
        <v>73</v>
      </c>
      <c r="H23" s="9" t="s">
        <v>210</v>
      </c>
      <c r="I23" s="9" t="s">
        <v>15</v>
      </c>
      <c r="J23" s="4">
        <v>15</v>
      </c>
      <c r="K23" s="4">
        <v>10</v>
      </c>
      <c r="L23" s="4">
        <v>30</v>
      </c>
      <c r="M23" s="5">
        <f t="shared" si="0"/>
        <v>4500</v>
      </c>
      <c r="N23" s="10">
        <v>12</v>
      </c>
      <c r="O23" s="7">
        <f t="shared" si="1"/>
        <v>54000</v>
      </c>
      <c r="P23" s="7">
        <f t="shared" si="2"/>
        <v>9720</v>
      </c>
      <c r="Q23" s="8">
        <f t="shared" si="3"/>
        <v>63720</v>
      </c>
    </row>
    <row r="24" spans="2:17" x14ac:dyDescent="0.3">
      <c r="B24" s="1">
        <v>10</v>
      </c>
      <c r="C24" s="2" t="s">
        <v>13</v>
      </c>
      <c r="D24" s="3" t="s">
        <v>205</v>
      </c>
      <c r="E24" s="3">
        <v>104</v>
      </c>
      <c r="F24" s="3" t="s">
        <v>204</v>
      </c>
      <c r="G24" s="9" t="s">
        <v>73</v>
      </c>
      <c r="H24" s="9" t="s">
        <v>15</v>
      </c>
      <c r="I24" s="9" t="s">
        <v>15</v>
      </c>
      <c r="J24" s="4">
        <v>15</v>
      </c>
      <c r="K24" s="4">
        <v>10</v>
      </c>
      <c r="L24" s="4">
        <v>30</v>
      </c>
      <c r="M24" s="5">
        <f t="shared" si="0"/>
        <v>4500</v>
      </c>
      <c r="N24" s="11">
        <v>14</v>
      </c>
      <c r="O24" s="7">
        <f t="shared" si="1"/>
        <v>63000</v>
      </c>
      <c r="P24" s="7">
        <f t="shared" si="2"/>
        <v>11340</v>
      </c>
      <c r="Q24" s="8">
        <f t="shared" si="3"/>
        <v>74340</v>
      </c>
    </row>
    <row r="25" spans="2:17" ht="16.2" thickBot="1" x14ac:dyDescent="0.35">
      <c r="B25" s="88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90"/>
    </row>
    <row r="26" spans="2:17" ht="15" thickBot="1" x14ac:dyDescent="0.35">
      <c r="B26" s="91" t="s">
        <v>16</v>
      </c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3"/>
    </row>
    <row r="27" spans="2:17" x14ac:dyDescent="0.3">
      <c r="B27" s="94" t="s">
        <v>17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6"/>
    </row>
    <row r="28" spans="2:17" x14ac:dyDescent="0.3">
      <c r="B28" s="69" t="s">
        <v>18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1"/>
    </row>
    <row r="29" spans="2:17" ht="15" thickBot="1" x14ac:dyDescent="0.35">
      <c r="B29" s="72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4"/>
    </row>
  </sheetData>
  <mergeCells count="6">
    <mergeCell ref="B28:Q28"/>
    <mergeCell ref="B29:Q29"/>
    <mergeCell ref="B12:Q12"/>
    <mergeCell ref="B25:Q25"/>
    <mergeCell ref="B26:Q26"/>
    <mergeCell ref="B27:Q2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BF38-423E-4674-9C26-695F998FCBF3}">
  <dimension ref="B1:P20"/>
  <sheetViews>
    <sheetView zoomScale="78" workbookViewId="0">
      <selection activeCell="B17" sqref="B17:P17"/>
    </sheetView>
  </sheetViews>
  <sheetFormatPr defaultColWidth="8.77734375" defaultRowHeight="14.4" x14ac:dyDescent="0.3"/>
  <cols>
    <col min="3" max="3" width="16.33203125" bestFit="1" customWidth="1"/>
    <col min="4" max="4" width="15" bestFit="1" customWidth="1"/>
    <col min="5" max="5" width="11.6640625" bestFit="1" customWidth="1"/>
    <col min="6" max="6" width="13" customWidth="1"/>
    <col min="7" max="8" width="14.6640625" customWidth="1"/>
    <col min="9" max="9" width="14" customWidth="1"/>
    <col min="10" max="10" width="14.44140625" customWidth="1"/>
    <col min="11" max="11" width="10.77734375" customWidth="1"/>
    <col min="13" max="13" width="13.6640625" bestFit="1" customWidth="1"/>
    <col min="14" max="14" width="11.77734375" bestFit="1" customWidth="1"/>
    <col min="15" max="15" width="11.77734375" customWidth="1"/>
    <col min="16" max="16" width="11.44140625" bestFit="1" customWidth="1"/>
  </cols>
  <sheetData>
    <row r="1" spans="2:16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2:16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2:16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2:16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2:16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2:16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spans="2:16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</row>
    <row r="9" spans="2:16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</row>
    <row r="10" spans="2:16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</row>
    <row r="11" spans="2:16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2:16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9"/>
    </row>
    <row r="13" spans="2:16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</v>
      </c>
      <c r="I13" s="64" t="s">
        <v>5</v>
      </c>
      <c r="J13" s="64" t="s">
        <v>6</v>
      </c>
      <c r="K13" s="64" t="s">
        <v>7</v>
      </c>
      <c r="L13" s="64" t="s">
        <v>8</v>
      </c>
      <c r="M13" s="64" t="s">
        <v>9</v>
      </c>
      <c r="N13" s="64" t="s">
        <v>10</v>
      </c>
      <c r="O13" s="64" t="s">
        <v>11</v>
      </c>
      <c r="P13" s="65" t="s">
        <v>11</v>
      </c>
    </row>
    <row r="14" spans="2:16" x14ac:dyDescent="0.3">
      <c r="B14" s="1">
        <v>1</v>
      </c>
      <c r="C14" s="2" t="s">
        <v>13</v>
      </c>
      <c r="D14" s="3" t="s">
        <v>201</v>
      </c>
      <c r="E14" s="3">
        <v>90.8</v>
      </c>
      <c r="F14" s="3" t="s">
        <v>200</v>
      </c>
      <c r="G14" s="9" t="s">
        <v>74</v>
      </c>
      <c r="H14" s="9">
        <v>2</v>
      </c>
      <c r="I14" s="4">
        <v>15</v>
      </c>
      <c r="J14" s="4">
        <v>10</v>
      </c>
      <c r="K14" s="5">
        <v>30</v>
      </c>
      <c r="L14" s="6">
        <f>K14*J14*I14</f>
        <v>4500</v>
      </c>
      <c r="M14" s="7">
        <v>8</v>
      </c>
      <c r="N14" s="7">
        <f>M14*L14</f>
        <v>36000</v>
      </c>
      <c r="O14" s="42">
        <f>N14*18%</f>
        <v>6480</v>
      </c>
      <c r="P14" s="8">
        <f>O14+N14</f>
        <v>42480</v>
      </c>
    </row>
    <row r="15" spans="2:16" x14ac:dyDescent="0.3">
      <c r="B15" s="1">
        <v>2</v>
      </c>
      <c r="C15" s="2" t="s">
        <v>13</v>
      </c>
      <c r="D15" s="3" t="s">
        <v>47</v>
      </c>
      <c r="E15" s="3">
        <v>93.5</v>
      </c>
      <c r="F15" s="3" t="s">
        <v>200</v>
      </c>
      <c r="G15" s="9" t="s">
        <v>74</v>
      </c>
      <c r="H15" s="9">
        <v>1</v>
      </c>
      <c r="I15" s="4">
        <v>15</v>
      </c>
      <c r="J15" s="4">
        <v>10</v>
      </c>
      <c r="K15" s="5">
        <v>30</v>
      </c>
      <c r="L15" s="6">
        <f>K15*J15*I15</f>
        <v>4500</v>
      </c>
      <c r="M15" s="7">
        <v>50</v>
      </c>
      <c r="N15" s="7">
        <f>M15*L15</f>
        <v>225000</v>
      </c>
      <c r="O15" s="42">
        <f>N15*18%</f>
        <v>40500</v>
      </c>
      <c r="P15" s="8">
        <f>O15+N15</f>
        <v>265500</v>
      </c>
    </row>
    <row r="16" spans="2:16" ht="16.2" thickBot="1" x14ac:dyDescent="0.35">
      <c r="B16" s="88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90"/>
    </row>
    <row r="17" spans="2:16" ht="15" thickBot="1" x14ac:dyDescent="0.35">
      <c r="B17" s="91" t="s">
        <v>16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3"/>
    </row>
    <row r="18" spans="2:16" x14ac:dyDescent="0.3">
      <c r="B18" s="94" t="s">
        <v>17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6"/>
    </row>
    <row r="19" spans="2:16" x14ac:dyDescent="0.3">
      <c r="B19" s="69" t="s">
        <v>18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1"/>
    </row>
    <row r="20" spans="2:16" ht="15" thickBot="1" x14ac:dyDescent="0.35"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</row>
  </sheetData>
  <mergeCells count="6">
    <mergeCell ref="B18:P18"/>
    <mergeCell ref="B19:P19"/>
    <mergeCell ref="B20:P20"/>
    <mergeCell ref="B16:P16"/>
    <mergeCell ref="B12:P12"/>
    <mergeCell ref="B17:P1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574E-D05D-4CFC-AB9A-6302B914B6EA}">
  <dimension ref="B1:P21"/>
  <sheetViews>
    <sheetView zoomScale="71" workbookViewId="0">
      <selection activeCell="I8" sqref="I8"/>
    </sheetView>
  </sheetViews>
  <sheetFormatPr defaultColWidth="8.77734375" defaultRowHeight="14.4" x14ac:dyDescent="0.3"/>
  <cols>
    <col min="3" max="3" width="16.33203125" bestFit="1" customWidth="1"/>
    <col min="4" max="4" width="17.44140625" customWidth="1"/>
    <col min="5" max="5" width="14.44140625" customWidth="1"/>
    <col min="6" max="6" width="16.44140625" customWidth="1"/>
    <col min="7" max="8" width="14.6640625" customWidth="1"/>
    <col min="9" max="9" width="12.44140625" customWidth="1"/>
    <col min="10" max="10" width="14" customWidth="1"/>
    <col min="11" max="11" width="14.44140625" customWidth="1"/>
    <col min="14" max="14" width="13.6640625" bestFit="1" customWidth="1"/>
    <col min="15" max="15" width="11.77734375" bestFit="1" customWidth="1"/>
    <col min="16" max="16" width="11.44140625" bestFit="1" customWidth="1"/>
    <col min="17" max="17" width="32.77734375" bestFit="1" customWidth="1"/>
  </cols>
  <sheetData>
    <row r="1" spans="2:16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2:16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2:16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2:16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2:16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2:16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spans="2:16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</row>
    <row r="9" spans="2:16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</row>
    <row r="10" spans="2:16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</row>
    <row r="11" spans="2:16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2:16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9"/>
    </row>
    <row r="13" spans="2:16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</v>
      </c>
      <c r="I13" s="64" t="s">
        <v>5</v>
      </c>
      <c r="J13" s="64" t="s">
        <v>6</v>
      </c>
      <c r="K13" s="64" t="s">
        <v>7</v>
      </c>
      <c r="L13" s="64" t="s">
        <v>8</v>
      </c>
      <c r="M13" s="64" t="s">
        <v>9</v>
      </c>
      <c r="N13" s="64" t="s">
        <v>10</v>
      </c>
      <c r="O13" s="64" t="s">
        <v>11</v>
      </c>
      <c r="P13" s="65" t="s">
        <v>12</v>
      </c>
    </row>
    <row r="14" spans="2:16" x14ac:dyDescent="0.3">
      <c r="B14" s="1">
        <v>1</v>
      </c>
      <c r="C14" s="2" t="s">
        <v>13</v>
      </c>
      <c r="D14" s="3" t="s">
        <v>120</v>
      </c>
      <c r="E14" s="3">
        <v>91.1</v>
      </c>
      <c r="F14" s="3" t="s">
        <v>199</v>
      </c>
      <c r="G14" s="9" t="s">
        <v>75</v>
      </c>
      <c r="H14" s="9">
        <v>1</v>
      </c>
      <c r="I14" s="4">
        <v>15</v>
      </c>
      <c r="J14" s="4">
        <v>10</v>
      </c>
      <c r="K14" s="4">
        <v>30</v>
      </c>
      <c r="L14" s="5">
        <f t="shared" ref="L14:L16" si="0">I14*J14*K14</f>
        <v>4500</v>
      </c>
      <c r="M14" s="6">
        <v>17</v>
      </c>
      <c r="N14" s="7">
        <f>M14*L14</f>
        <v>76500</v>
      </c>
      <c r="O14" s="7">
        <f>N14*18%</f>
        <v>13770</v>
      </c>
      <c r="P14" s="8">
        <f>N14+O14</f>
        <v>90270</v>
      </c>
    </row>
    <row r="15" spans="2:16" x14ac:dyDescent="0.3">
      <c r="B15" s="1">
        <v>2</v>
      </c>
      <c r="C15" s="2" t="s">
        <v>13</v>
      </c>
      <c r="D15" s="3" t="s">
        <v>47</v>
      </c>
      <c r="E15" s="3">
        <v>93.5</v>
      </c>
      <c r="F15" s="3" t="s">
        <v>199</v>
      </c>
      <c r="G15" s="9" t="s">
        <v>75</v>
      </c>
      <c r="H15" s="9">
        <v>2</v>
      </c>
      <c r="I15" s="4">
        <v>15</v>
      </c>
      <c r="J15" s="4">
        <v>10</v>
      </c>
      <c r="K15" s="4">
        <v>30</v>
      </c>
      <c r="L15" s="5">
        <f t="shared" si="0"/>
        <v>4500</v>
      </c>
      <c r="M15" s="6">
        <v>15</v>
      </c>
      <c r="N15" s="7">
        <f t="shared" ref="N15:N16" si="1">M15*L15</f>
        <v>67500</v>
      </c>
      <c r="O15" s="7">
        <f t="shared" ref="O15:O16" si="2">N15*18%</f>
        <v>12150</v>
      </c>
      <c r="P15" s="8">
        <f t="shared" ref="P15:P16" si="3">N15+O15</f>
        <v>79650</v>
      </c>
    </row>
    <row r="16" spans="2:16" x14ac:dyDescent="0.3">
      <c r="B16" s="1">
        <v>3</v>
      </c>
      <c r="C16" s="2" t="s">
        <v>13</v>
      </c>
      <c r="D16" s="3" t="s">
        <v>46</v>
      </c>
      <c r="E16" s="3">
        <v>98.3</v>
      </c>
      <c r="F16" s="3" t="s">
        <v>199</v>
      </c>
      <c r="G16" s="9" t="s">
        <v>75</v>
      </c>
      <c r="H16" s="9">
        <v>3</v>
      </c>
      <c r="I16" s="4">
        <v>15</v>
      </c>
      <c r="J16" s="4">
        <v>10</v>
      </c>
      <c r="K16" s="4">
        <v>30</v>
      </c>
      <c r="L16" s="5">
        <f t="shared" si="0"/>
        <v>4500</v>
      </c>
      <c r="M16" s="6">
        <v>12</v>
      </c>
      <c r="N16" s="7">
        <f t="shared" si="1"/>
        <v>54000</v>
      </c>
      <c r="O16" s="7">
        <f t="shared" si="2"/>
        <v>9720</v>
      </c>
      <c r="P16" s="8">
        <f t="shared" si="3"/>
        <v>63720</v>
      </c>
    </row>
    <row r="17" spans="2:16" ht="16.2" thickBot="1" x14ac:dyDescent="0.35">
      <c r="B17" s="88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90"/>
    </row>
    <row r="18" spans="2:16" ht="15" thickBot="1" x14ac:dyDescent="0.35">
      <c r="B18" s="91" t="s">
        <v>16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3"/>
    </row>
    <row r="19" spans="2:16" x14ac:dyDescent="0.3">
      <c r="B19" s="94" t="s">
        <v>17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6"/>
    </row>
    <row r="20" spans="2:16" x14ac:dyDescent="0.3">
      <c r="B20" s="69" t="s">
        <v>18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1"/>
    </row>
    <row r="21" spans="2:16" ht="15" thickBot="1" x14ac:dyDescent="0.35">
      <c r="B21" s="72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4"/>
    </row>
  </sheetData>
  <mergeCells count="6">
    <mergeCell ref="B20:P20"/>
    <mergeCell ref="B21:P21"/>
    <mergeCell ref="B12:P12"/>
    <mergeCell ref="B17:P17"/>
    <mergeCell ref="B18:P18"/>
    <mergeCell ref="B19:P1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4E22-2518-47AD-A43E-4B53C52450BA}">
  <dimension ref="B1:P20"/>
  <sheetViews>
    <sheetView zoomScale="75" workbookViewId="0">
      <selection activeCell="B17" sqref="B17:P17"/>
    </sheetView>
  </sheetViews>
  <sheetFormatPr defaultColWidth="8.77734375" defaultRowHeight="14.4" x14ac:dyDescent="0.3"/>
  <cols>
    <col min="3" max="3" width="16.33203125" bestFit="1" customWidth="1"/>
    <col min="4" max="4" width="15" bestFit="1" customWidth="1"/>
    <col min="5" max="5" width="12.6640625" customWidth="1"/>
    <col min="6" max="6" width="17.109375" customWidth="1"/>
    <col min="7" max="8" width="14.6640625" customWidth="1"/>
    <col min="9" max="9" width="12.44140625" customWidth="1"/>
    <col min="10" max="10" width="14" customWidth="1"/>
    <col min="11" max="11" width="14.44140625" customWidth="1"/>
    <col min="14" max="14" width="13.6640625" bestFit="1" customWidth="1"/>
    <col min="15" max="15" width="11.77734375" bestFit="1" customWidth="1"/>
    <col min="16" max="16" width="11.44140625" bestFit="1" customWidth="1"/>
    <col min="17" max="17" width="32.77734375" bestFit="1" customWidth="1"/>
  </cols>
  <sheetData>
    <row r="1" spans="2:16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2:16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2:16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2:16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2:16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2:16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spans="2:16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</row>
    <row r="9" spans="2:16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</row>
    <row r="10" spans="2:16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</row>
    <row r="11" spans="2:16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2:16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9"/>
    </row>
    <row r="13" spans="2:16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</v>
      </c>
      <c r="I13" s="64" t="s">
        <v>5</v>
      </c>
      <c r="J13" s="64" t="s">
        <v>6</v>
      </c>
      <c r="K13" s="64" t="s">
        <v>7</v>
      </c>
      <c r="L13" s="64" t="s">
        <v>8</v>
      </c>
      <c r="M13" s="64" t="s">
        <v>9</v>
      </c>
      <c r="N13" s="64" t="s">
        <v>10</v>
      </c>
      <c r="O13" s="64" t="s">
        <v>11</v>
      </c>
      <c r="P13" s="65" t="s">
        <v>12</v>
      </c>
    </row>
    <row r="14" spans="2:16" x14ac:dyDescent="0.3">
      <c r="B14" s="1">
        <v>1</v>
      </c>
      <c r="C14" s="2" t="s">
        <v>13</v>
      </c>
      <c r="D14" s="3" t="s">
        <v>46</v>
      </c>
      <c r="E14" s="3">
        <v>92.7</v>
      </c>
      <c r="F14" s="3" t="s">
        <v>198</v>
      </c>
      <c r="G14" s="9" t="s">
        <v>76</v>
      </c>
      <c r="H14" s="9">
        <v>2</v>
      </c>
      <c r="I14" s="4">
        <v>15</v>
      </c>
      <c r="J14" s="4">
        <v>10</v>
      </c>
      <c r="K14" s="4">
        <v>30</v>
      </c>
      <c r="L14" s="5">
        <f t="shared" ref="L14:L15" si="0">I14*J14*K14</f>
        <v>4500</v>
      </c>
      <c r="M14" s="6">
        <v>15</v>
      </c>
      <c r="N14" s="7">
        <f>M14*L14</f>
        <v>67500</v>
      </c>
      <c r="O14" s="7">
        <f>N14*18%</f>
        <v>12150</v>
      </c>
      <c r="P14" s="8">
        <f>N14+O14</f>
        <v>79650</v>
      </c>
    </row>
    <row r="15" spans="2:16" x14ac:dyDescent="0.3">
      <c r="B15" s="1">
        <v>2</v>
      </c>
      <c r="C15" s="2" t="s">
        <v>13</v>
      </c>
      <c r="D15" s="3" t="s">
        <v>47</v>
      </c>
      <c r="E15" s="12">
        <v>95</v>
      </c>
      <c r="F15" s="3" t="s">
        <v>198</v>
      </c>
      <c r="G15" s="9" t="s">
        <v>76</v>
      </c>
      <c r="H15" s="9">
        <v>1</v>
      </c>
      <c r="I15" s="4">
        <v>15</v>
      </c>
      <c r="J15" s="4">
        <v>10</v>
      </c>
      <c r="K15" s="4">
        <v>30</v>
      </c>
      <c r="L15" s="5">
        <f t="shared" si="0"/>
        <v>4500</v>
      </c>
      <c r="M15" s="6">
        <v>12</v>
      </c>
      <c r="N15" s="7">
        <f t="shared" ref="N15" si="1">M15*L15</f>
        <v>54000</v>
      </c>
      <c r="O15" s="7">
        <f>N15*18%</f>
        <v>9720</v>
      </c>
      <c r="P15" s="8">
        <f t="shared" ref="P15" si="2">N15+O15</f>
        <v>63720</v>
      </c>
    </row>
    <row r="16" spans="2:16" ht="16.2" thickBot="1" x14ac:dyDescent="0.35">
      <c r="B16" s="88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90"/>
    </row>
    <row r="17" spans="2:16" ht="15" thickBot="1" x14ac:dyDescent="0.35">
      <c r="B17" s="91" t="s">
        <v>16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3"/>
    </row>
    <row r="18" spans="2:16" x14ac:dyDescent="0.3">
      <c r="B18" s="94" t="s">
        <v>17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6"/>
    </row>
    <row r="19" spans="2:16" x14ac:dyDescent="0.3">
      <c r="B19" s="69" t="s">
        <v>18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1"/>
    </row>
    <row r="20" spans="2:16" ht="15" thickBot="1" x14ac:dyDescent="0.35"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</row>
  </sheetData>
  <mergeCells count="6">
    <mergeCell ref="B17:P17"/>
    <mergeCell ref="B18:P18"/>
    <mergeCell ref="B19:P19"/>
    <mergeCell ref="B20:P20"/>
    <mergeCell ref="B12:P12"/>
    <mergeCell ref="B16:P1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0E26-E83F-4CBD-A77D-352A8A9F6D4A}">
  <dimension ref="B1:P20"/>
  <sheetViews>
    <sheetView zoomScale="87" workbookViewId="0">
      <selection activeCell="B17" sqref="B17:P17"/>
    </sheetView>
  </sheetViews>
  <sheetFormatPr defaultColWidth="8.77734375" defaultRowHeight="14.4" x14ac:dyDescent="0.3"/>
  <cols>
    <col min="3" max="3" width="16.33203125" bestFit="1" customWidth="1"/>
    <col min="4" max="4" width="15" bestFit="1" customWidth="1"/>
    <col min="5" max="5" width="13.6640625" customWidth="1"/>
    <col min="6" max="6" width="17" customWidth="1"/>
    <col min="7" max="8" width="14.6640625" customWidth="1"/>
    <col min="9" max="9" width="12.44140625" customWidth="1"/>
    <col min="10" max="10" width="14" customWidth="1"/>
    <col min="11" max="11" width="14.44140625" customWidth="1"/>
    <col min="14" max="14" width="13.6640625" bestFit="1" customWidth="1"/>
    <col min="15" max="15" width="11.77734375" bestFit="1" customWidth="1"/>
    <col min="16" max="16" width="11.44140625" bestFit="1" customWidth="1"/>
    <col min="17" max="17" width="32.77734375" bestFit="1" customWidth="1"/>
  </cols>
  <sheetData>
    <row r="1" spans="2:16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2:16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2:16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2:16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2:16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2:16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spans="2:16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</row>
    <row r="9" spans="2:16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</row>
    <row r="10" spans="2:16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</row>
    <row r="11" spans="2:16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2:16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9"/>
    </row>
    <row r="13" spans="2:16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</v>
      </c>
      <c r="I13" s="64" t="s">
        <v>5</v>
      </c>
      <c r="J13" s="64" t="s">
        <v>6</v>
      </c>
      <c r="K13" s="64" t="s">
        <v>7</v>
      </c>
      <c r="L13" s="64" t="s">
        <v>8</v>
      </c>
      <c r="M13" s="64" t="s">
        <v>9</v>
      </c>
      <c r="N13" s="64" t="s">
        <v>10</v>
      </c>
      <c r="O13" s="64" t="s">
        <v>11</v>
      </c>
      <c r="P13" s="65" t="s">
        <v>12</v>
      </c>
    </row>
    <row r="14" spans="2:16" x14ac:dyDescent="0.3">
      <c r="B14" s="1">
        <v>1</v>
      </c>
      <c r="C14" s="2" t="s">
        <v>13</v>
      </c>
      <c r="D14" s="3" t="s">
        <v>47</v>
      </c>
      <c r="E14" s="3">
        <v>93.5</v>
      </c>
      <c r="F14" s="3" t="s">
        <v>196</v>
      </c>
      <c r="G14" s="9" t="s">
        <v>77</v>
      </c>
      <c r="H14" s="9">
        <v>1</v>
      </c>
      <c r="I14" s="4">
        <v>15</v>
      </c>
      <c r="J14" s="4">
        <v>10</v>
      </c>
      <c r="K14" s="4">
        <v>30</v>
      </c>
      <c r="L14" s="5">
        <f t="shared" ref="L14:L15" si="0">I14*J14*K14</f>
        <v>4500</v>
      </c>
      <c r="M14" s="6">
        <v>12</v>
      </c>
      <c r="N14" s="7">
        <f>M14*L14</f>
        <v>54000</v>
      </c>
      <c r="O14" s="7">
        <f>N14*18%</f>
        <v>9720</v>
      </c>
      <c r="P14" s="8">
        <f>N14+O14</f>
        <v>63720</v>
      </c>
    </row>
    <row r="15" spans="2:16" x14ac:dyDescent="0.3">
      <c r="B15" s="1">
        <v>2</v>
      </c>
      <c r="C15" s="2" t="s">
        <v>13</v>
      </c>
      <c r="D15" s="3" t="s">
        <v>197</v>
      </c>
      <c r="E15" s="12">
        <v>95</v>
      </c>
      <c r="F15" s="3" t="s">
        <v>196</v>
      </c>
      <c r="G15" s="9" t="s">
        <v>77</v>
      </c>
      <c r="H15" s="9">
        <v>2</v>
      </c>
      <c r="I15" s="4">
        <v>15</v>
      </c>
      <c r="J15" s="4">
        <v>10</v>
      </c>
      <c r="K15" s="4">
        <v>30</v>
      </c>
      <c r="L15" s="5">
        <f t="shared" si="0"/>
        <v>4500</v>
      </c>
      <c r="M15" s="6">
        <v>12</v>
      </c>
      <c r="N15" s="7">
        <f t="shared" ref="N15" si="1">M15*L15</f>
        <v>54000</v>
      </c>
      <c r="O15" s="7">
        <f t="shared" ref="O15" si="2">N15*18%</f>
        <v>9720</v>
      </c>
      <c r="P15" s="8">
        <f t="shared" ref="P15" si="3">N15+O15</f>
        <v>63720</v>
      </c>
    </row>
    <row r="16" spans="2:16" ht="16.2" thickBot="1" x14ac:dyDescent="0.35">
      <c r="B16" s="88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90"/>
    </row>
    <row r="17" spans="2:16" ht="15" thickBot="1" x14ac:dyDescent="0.35">
      <c r="B17" s="91" t="s">
        <v>16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3"/>
    </row>
    <row r="18" spans="2:16" x14ac:dyDescent="0.3">
      <c r="B18" s="94" t="s">
        <v>17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6"/>
    </row>
    <row r="19" spans="2:16" x14ac:dyDescent="0.3">
      <c r="B19" s="69" t="s">
        <v>18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1"/>
    </row>
    <row r="20" spans="2:16" ht="15" thickBot="1" x14ac:dyDescent="0.35"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</row>
  </sheetData>
  <mergeCells count="6">
    <mergeCell ref="B19:P19"/>
    <mergeCell ref="B20:P20"/>
    <mergeCell ref="B12:P12"/>
    <mergeCell ref="B16:P16"/>
    <mergeCell ref="B17:P17"/>
    <mergeCell ref="B18:P1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986A-ABB5-48A3-B2D4-716229618793}">
  <dimension ref="B1:Q34"/>
  <sheetViews>
    <sheetView zoomScale="68" zoomScaleNormal="83" workbookViewId="0">
      <selection activeCell="A12" sqref="A12:XFD13"/>
    </sheetView>
  </sheetViews>
  <sheetFormatPr defaultColWidth="8.77734375" defaultRowHeight="14.4" x14ac:dyDescent="0.3"/>
  <cols>
    <col min="3" max="3" width="16.33203125" bestFit="1" customWidth="1"/>
    <col min="4" max="4" width="20.109375" customWidth="1"/>
    <col min="5" max="5" width="16.33203125" bestFit="1" customWidth="1"/>
    <col min="6" max="6" width="14.109375" customWidth="1"/>
    <col min="7" max="7" width="14.77734375" customWidth="1"/>
    <col min="8" max="8" width="14" customWidth="1"/>
    <col min="9" max="9" width="15.6640625" customWidth="1"/>
    <col min="10" max="11" width="11.44140625" customWidth="1"/>
    <col min="12" max="12" width="11.77734375" customWidth="1"/>
    <col min="15" max="15" width="10.6640625" bestFit="1" customWidth="1"/>
    <col min="17" max="17" width="10.664062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23">
        <v>1</v>
      </c>
      <c r="C14" s="2" t="s">
        <v>13</v>
      </c>
      <c r="D14" s="3" t="s">
        <v>46</v>
      </c>
      <c r="E14" s="3">
        <v>92.7</v>
      </c>
      <c r="F14" s="3" t="s">
        <v>78</v>
      </c>
      <c r="G14" s="3" t="s">
        <v>78</v>
      </c>
      <c r="H14" s="24" t="s">
        <v>189</v>
      </c>
      <c r="I14" s="24">
        <v>1</v>
      </c>
      <c r="J14" s="4">
        <v>15</v>
      </c>
      <c r="K14" s="4">
        <v>10</v>
      </c>
      <c r="L14" s="4">
        <v>30</v>
      </c>
      <c r="M14" s="5">
        <f t="shared" ref="M14:M29" si="0">J14*K14*L14</f>
        <v>4500</v>
      </c>
      <c r="N14" s="25">
        <v>35</v>
      </c>
      <c r="O14" s="26">
        <f>N14*M14</f>
        <v>157500</v>
      </c>
      <c r="P14" s="7">
        <f>O14*18%</f>
        <v>28350</v>
      </c>
      <c r="Q14" s="8">
        <f>O14+P14</f>
        <v>185850</v>
      </c>
    </row>
    <row r="15" spans="2:17" x14ac:dyDescent="0.3">
      <c r="B15" s="23">
        <v>2</v>
      </c>
      <c r="C15" s="2" t="s">
        <v>13</v>
      </c>
      <c r="D15" s="3" t="s">
        <v>47</v>
      </c>
      <c r="E15" s="3">
        <v>93.5</v>
      </c>
      <c r="F15" s="3" t="s">
        <v>78</v>
      </c>
      <c r="G15" s="3" t="s">
        <v>78</v>
      </c>
      <c r="H15" s="24" t="s">
        <v>190</v>
      </c>
      <c r="I15" s="24">
        <v>4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25">
        <v>30</v>
      </c>
      <c r="O15" s="7">
        <f t="shared" ref="O15:O29" si="1">N15*M15</f>
        <v>135000</v>
      </c>
      <c r="P15" s="7">
        <f t="shared" ref="P15:P29" si="2">O15*18%</f>
        <v>24300</v>
      </c>
      <c r="Q15" s="8">
        <f t="shared" ref="Q15:Q29" si="3">O15+P15</f>
        <v>159300</v>
      </c>
    </row>
    <row r="16" spans="2:17" x14ac:dyDescent="0.3">
      <c r="B16" s="23">
        <v>3</v>
      </c>
      <c r="C16" s="2" t="s">
        <v>13</v>
      </c>
      <c r="D16" s="3" t="s">
        <v>118</v>
      </c>
      <c r="E16" s="3">
        <v>94.3</v>
      </c>
      <c r="F16" s="3" t="s">
        <v>78</v>
      </c>
      <c r="G16" s="3" t="s">
        <v>78</v>
      </c>
      <c r="H16" s="24" t="s">
        <v>191</v>
      </c>
      <c r="I16" s="24">
        <v>2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25">
        <v>45</v>
      </c>
      <c r="O16" s="7">
        <f t="shared" si="1"/>
        <v>202500</v>
      </c>
      <c r="P16" s="7">
        <f t="shared" si="2"/>
        <v>36450</v>
      </c>
      <c r="Q16" s="8">
        <f t="shared" si="3"/>
        <v>238950</v>
      </c>
    </row>
    <row r="17" spans="2:17" x14ac:dyDescent="0.3">
      <c r="B17" s="23">
        <v>4</v>
      </c>
      <c r="C17" s="2" t="s">
        <v>13</v>
      </c>
      <c r="D17" s="3" t="s">
        <v>120</v>
      </c>
      <c r="E17" s="3">
        <v>98.3</v>
      </c>
      <c r="F17" s="3" t="s">
        <v>78</v>
      </c>
      <c r="G17" s="3" t="s">
        <v>78</v>
      </c>
      <c r="H17" s="24" t="s">
        <v>192</v>
      </c>
      <c r="I17" s="24">
        <v>3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25">
        <v>40</v>
      </c>
      <c r="O17" s="7">
        <f t="shared" si="1"/>
        <v>180000</v>
      </c>
      <c r="P17" s="7">
        <f t="shared" si="2"/>
        <v>32400</v>
      </c>
      <c r="Q17" s="8">
        <f t="shared" si="3"/>
        <v>212400</v>
      </c>
    </row>
    <row r="18" spans="2:17" x14ac:dyDescent="0.3">
      <c r="B18" s="23">
        <v>5</v>
      </c>
      <c r="C18" s="2" t="s">
        <v>13</v>
      </c>
      <c r="D18" s="3" t="s">
        <v>46</v>
      </c>
      <c r="E18" s="3">
        <v>92.7</v>
      </c>
      <c r="F18" s="3" t="s">
        <v>183</v>
      </c>
      <c r="G18" s="3" t="s">
        <v>79</v>
      </c>
      <c r="H18" s="24" t="s">
        <v>188</v>
      </c>
      <c r="I18" s="24">
        <v>2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25">
        <v>12</v>
      </c>
      <c r="O18" s="7">
        <f t="shared" si="1"/>
        <v>54000</v>
      </c>
      <c r="P18" s="7">
        <f t="shared" si="2"/>
        <v>9720</v>
      </c>
      <c r="Q18" s="8">
        <f t="shared" si="3"/>
        <v>63720</v>
      </c>
    </row>
    <row r="19" spans="2:17" x14ac:dyDescent="0.3">
      <c r="B19" s="23">
        <v>6</v>
      </c>
      <c r="C19" s="2" t="s">
        <v>13</v>
      </c>
      <c r="D19" s="3" t="s">
        <v>47</v>
      </c>
      <c r="E19" s="3">
        <v>93.5</v>
      </c>
      <c r="F19" s="3" t="s">
        <v>183</v>
      </c>
      <c r="G19" s="3" t="s">
        <v>79</v>
      </c>
      <c r="H19" s="24" t="s">
        <v>105</v>
      </c>
      <c r="I19" s="24">
        <v>4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25">
        <v>15</v>
      </c>
      <c r="O19" s="7">
        <f t="shared" si="1"/>
        <v>67500</v>
      </c>
      <c r="P19" s="7">
        <f t="shared" si="2"/>
        <v>12150</v>
      </c>
      <c r="Q19" s="8">
        <f t="shared" si="3"/>
        <v>79650</v>
      </c>
    </row>
    <row r="20" spans="2:17" x14ac:dyDescent="0.3">
      <c r="B20" s="23">
        <v>7</v>
      </c>
      <c r="C20" s="2" t="s">
        <v>13</v>
      </c>
      <c r="D20" s="3" t="s">
        <v>118</v>
      </c>
      <c r="E20" s="3">
        <v>94.3</v>
      </c>
      <c r="F20" s="3" t="s">
        <v>183</v>
      </c>
      <c r="G20" s="3" t="s">
        <v>79</v>
      </c>
      <c r="H20" s="24" t="s">
        <v>152</v>
      </c>
      <c r="I20" s="24">
        <v>3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25">
        <v>15</v>
      </c>
      <c r="O20" s="7">
        <f t="shared" si="1"/>
        <v>67500</v>
      </c>
      <c r="P20" s="7">
        <f t="shared" si="2"/>
        <v>12150</v>
      </c>
      <c r="Q20" s="8">
        <f t="shared" si="3"/>
        <v>79650</v>
      </c>
    </row>
    <row r="21" spans="2:17" x14ac:dyDescent="0.3">
      <c r="B21" s="23">
        <v>8</v>
      </c>
      <c r="C21" s="2" t="s">
        <v>13</v>
      </c>
      <c r="D21" s="3" t="s">
        <v>120</v>
      </c>
      <c r="E21" s="3">
        <v>104.8</v>
      </c>
      <c r="F21" s="3" t="s">
        <v>183</v>
      </c>
      <c r="G21" s="3" t="s">
        <v>79</v>
      </c>
      <c r="H21" s="24" t="s">
        <v>187</v>
      </c>
      <c r="I21" s="24">
        <v>1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25">
        <v>15</v>
      </c>
      <c r="O21" s="7">
        <f t="shared" si="1"/>
        <v>67500</v>
      </c>
      <c r="P21" s="7">
        <f t="shared" si="2"/>
        <v>12150</v>
      </c>
      <c r="Q21" s="8">
        <f t="shared" si="3"/>
        <v>79650</v>
      </c>
    </row>
    <row r="22" spans="2:17" x14ac:dyDescent="0.3">
      <c r="B22" s="23">
        <v>9</v>
      </c>
      <c r="C22" s="2" t="s">
        <v>13</v>
      </c>
      <c r="D22" s="3" t="s">
        <v>27</v>
      </c>
      <c r="E22" s="3">
        <v>91.9</v>
      </c>
      <c r="F22" s="3" t="s">
        <v>184</v>
      </c>
      <c r="G22" s="3" t="s">
        <v>79</v>
      </c>
      <c r="H22" s="3" t="s">
        <v>195</v>
      </c>
      <c r="I22" s="3">
        <v>4</v>
      </c>
      <c r="J22" s="4">
        <v>15</v>
      </c>
      <c r="K22" s="4">
        <v>10</v>
      </c>
      <c r="L22" s="4">
        <v>30</v>
      </c>
      <c r="M22" s="5">
        <f t="shared" si="0"/>
        <v>4500</v>
      </c>
      <c r="N22" s="25">
        <v>10</v>
      </c>
      <c r="O22" s="7">
        <f t="shared" si="1"/>
        <v>45000</v>
      </c>
      <c r="P22" s="7">
        <f t="shared" si="2"/>
        <v>8100</v>
      </c>
      <c r="Q22" s="8">
        <f t="shared" si="3"/>
        <v>53100</v>
      </c>
    </row>
    <row r="23" spans="2:17" x14ac:dyDescent="0.3">
      <c r="B23" s="23">
        <v>10</v>
      </c>
      <c r="C23" s="2" t="s">
        <v>13</v>
      </c>
      <c r="D23" s="3" t="s">
        <v>46</v>
      </c>
      <c r="E23" s="3">
        <v>92.7</v>
      </c>
      <c r="F23" s="3" t="s">
        <v>184</v>
      </c>
      <c r="G23" s="3" t="s">
        <v>79</v>
      </c>
      <c r="H23" s="3" t="s">
        <v>194</v>
      </c>
      <c r="I23" s="3">
        <v>2</v>
      </c>
      <c r="J23" s="4">
        <v>15</v>
      </c>
      <c r="K23" s="4">
        <v>10</v>
      </c>
      <c r="L23" s="4">
        <v>30</v>
      </c>
      <c r="M23" s="5">
        <f t="shared" si="0"/>
        <v>4500</v>
      </c>
      <c r="N23" s="25">
        <v>10</v>
      </c>
      <c r="O23" s="7">
        <f t="shared" si="1"/>
        <v>45000</v>
      </c>
      <c r="P23" s="7">
        <f t="shared" si="2"/>
        <v>8100</v>
      </c>
      <c r="Q23" s="8">
        <f t="shared" si="3"/>
        <v>53100</v>
      </c>
    </row>
    <row r="24" spans="2:17" x14ac:dyDescent="0.3">
      <c r="B24" s="23">
        <v>11</v>
      </c>
      <c r="C24" s="2" t="s">
        <v>13</v>
      </c>
      <c r="D24" s="3" t="s">
        <v>118</v>
      </c>
      <c r="E24" s="3">
        <v>94.3</v>
      </c>
      <c r="F24" s="3" t="s">
        <v>184</v>
      </c>
      <c r="G24" s="3" t="s">
        <v>79</v>
      </c>
      <c r="H24" s="3" t="s">
        <v>153</v>
      </c>
      <c r="I24" s="3">
        <v>3</v>
      </c>
      <c r="J24" s="4">
        <v>15</v>
      </c>
      <c r="K24" s="4">
        <v>10</v>
      </c>
      <c r="L24" s="4">
        <v>30</v>
      </c>
      <c r="M24" s="5">
        <f t="shared" si="0"/>
        <v>4500</v>
      </c>
      <c r="N24" s="25">
        <v>13</v>
      </c>
      <c r="O24" s="7">
        <f t="shared" si="1"/>
        <v>58500</v>
      </c>
      <c r="P24" s="7">
        <f t="shared" si="2"/>
        <v>10530</v>
      </c>
      <c r="Q24" s="8">
        <f t="shared" si="3"/>
        <v>69030</v>
      </c>
    </row>
    <row r="25" spans="2:17" x14ac:dyDescent="0.3">
      <c r="B25" s="23">
        <v>12</v>
      </c>
      <c r="C25" s="2" t="s">
        <v>13</v>
      </c>
      <c r="D25" s="3" t="s">
        <v>120</v>
      </c>
      <c r="E25" s="3">
        <v>98.3</v>
      </c>
      <c r="F25" s="3" t="s">
        <v>184</v>
      </c>
      <c r="G25" s="3" t="s">
        <v>79</v>
      </c>
      <c r="H25" s="3" t="s">
        <v>193</v>
      </c>
      <c r="I25" s="3">
        <v>1</v>
      </c>
      <c r="J25" s="4">
        <v>15</v>
      </c>
      <c r="K25" s="4">
        <v>10</v>
      </c>
      <c r="L25" s="4">
        <v>30</v>
      </c>
      <c r="M25" s="5">
        <f t="shared" si="0"/>
        <v>4500</v>
      </c>
      <c r="N25" s="25">
        <v>15</v>
      </c>
      <c r="O25" s="7">
        <f t="shared" si="1"/>
        <v>67500</v>
      </c>
      <c r="P25" s="7">
        <f t="shared" si="2"/>
        <v>12150</v>
      </c>
      <c r="Q25" s="8">
        <f t="shared" si="3"/>
        <v>79650</v>
      </c>
    </row>
    <row r="26" spans="2:17" x14ac:dyDescent="0.3">
      <c r="B26" s="23">
        <v>14</v>
      </c>
      <c r="C26" s="2" t="s">
        <v>13</v>
      </c>
      <c r="D26" s="3" t="s">
        <v>27</v>
      </c>
      <c r="E26" s="3">
        <v>91.1</v>
      </c>
      <c r="F26" s="3" t="s">
        <v>185</v>
      </c>
      <c r="G26" s="3" t="s">
        <v>79</v>
      </c>
      <c r="H26" s="3" t="s">
        <v>15</v>
      </c>
      <c r="I26" s="3" t="s">
        <v>15</v>
      </c>
      <c r="J26" s="4">
        <v>15</v>
      </c>
      <c r="K26" s="4">
        <v>10</v>
      </c>
      <c r="L26" s="4">
        <v>30</v>
      </c>
      <c r="M26" s="5">
        <f t="shared" si="0"/>
        <v>4500</v>
      </c>
      <c r="N26" s="25">
        <v>10</v>
      </c>
      <c r="O26" s="7">
        <f t="shared" si="1"/>
        <v>45000</v>
      </c>
      <c r="P26" s="7">
        <f t="shared" si="2"/>
        <v>8100</v>
      </c>
      <c r="Q26" s="8">
        <f t="shared" si="3"/>
        <v>53100</v>
      </c>
    </row>
    <row r="27" spans="2:17" x14ac:dyDescent="0.3">
      <c r="B27" s="23">
        <v>15</v>
      </c>
      <c r="C27" s="2" t="s">
        <v>13</v>
      </c>
      <c r="D27" s="3" t="s">
        <v>46</v>
      </c>
      <c r="E27" s="3">
        <v>92.7</v>
      </c>
      <c r="F27" s="3" t="s">
        <v>185</v>
      </c>
      <c r="G27" s="3" t="s">
        <v>79</v>
      </c>
      <c r="H27" s="3" t="s">
        <v>15</v>
      </c>
      <c r="I27" s="3" t="s">
        <v>15</v>
      </c>
      <c r="J27" s="4">
        <v>15</v>
      </c>
      <c r="K27" s="4">
        <v>10</v>
      </c>
      <c r="L27" s="4">
        <v>30</v>
      </c>
      <c r="M27" s="5">
        <f t="shared" si="0"/>
        <v>4500</v>
      </c>
      <c r="N27" s="25">
        <v>10</v>
      </c>
      <c r="O27" s="7">
        <f t="shared" si="1"/>
        <v>45000</v>
      </c>
      <c r="P27" s="7">
        <f t="shared" si="2"/>
        <v>8100</v>
      </c>
      <c r="Q27" s="8">
        <f t="shared" si="3"/>
        <v>53100</v>
      </c>
    </row>
    <row r="28" spans="2:17" x14ac:dyDescent="0.3">
      <c r="B28" s="23">
        <v>16</v>
      </c>
      <c r="C28" s="2" t="s">
        <v>13</v>
      </c>
      <c r="D28" s="3" t="s">
        <v>120</v>
      </c>
      <c r="E28" s="3">
        <v>104.8</v>
      </c>
      <c r="F28" s="3" t="s">
        <v>185</v>
      </c>
      <c r="G28" s="3" t="s">
        <v>79</v>
      </c>
      <c r="H28" s="3" t="s">
        <v>15</v>
      </c>
      <c r="I28" s="3" t="s">
        <v>15</v>
      </c>
      <c r="J28" s="4">
        <v>15</v>
      </c>
      <c r="K28" s="4">
        <v>10</v>
      </c>
      <c r="L28" s="4">
        <v>30</v>
      </c>
      <c r="M28" s="5">
        <f t="shared" si="0"/>
        <v>4500</v>
      </c>
      <c r="N28" s="25">
        <v>15</v>
      </c>
      <c r="O28" s="7">
        <f t="shared" si="1"/>
        <v>67500</v>
      </c>
      <c r="P28" s="7">
        <f t="shared" si="2"/>
        <v>12150</v>
      </c>
      <c r="Q28" s="8">
        <f t="shared" si="3"/>
        <v>79650</v>
      </c>
    </row>
    <row r="29" spans="2:17" x14ac:dyDescent="0.3">
      <c r="B29" s="23">
        <v>17</v>
      </c>
      <c r="C29" s="2" t="s">
        <v>13</v>
      </c>
      <c r="D29" s="3" t="s">
        <v>46</v>
      </c>
      <c r="E29" s="3">
        <v>92.7</v>
      </c>
      <c r="F29" s="24" t="s">
        <v>186</v>
      </c>
      <c r="G29" s="3" t="s">
        <v>79</v>
      </c>
      <c r="H29" s="24" t="s">
        <v>194</v>
      </c>
      <c r="I29" s="24" t="s">
        <v>15</v>
      </c>
      <c r="J29" s="4">
        <v>15</v>
      </c>
      <c r="K29" s="4">
        <v>10</v>
      </c>
      <c r="L29" s="4">
        <v>30</v>
      </c>
      <c r="M29" s="5">
        <f t="shared" si="0"/>
        <v>4500</v>
      </c>
      <c r="N29" s="27">
        <v>18</v>
      </c>
      <c r="O29" s="28">
        <f t="shared" si="1"/>
        <v>81000</v>
      </c>
      <c r="P29" s="28">
        <f t="shared" si="2"/>
        <v>14580</v>
      </c>
      <c r="Q29" s="29">
        <f t="shared" si="3"/>
        <v>95580</v>
      </c>
    </row>
    <row r="30" spans="2:17" ht="16.2" thickBot="1" x14ac:dyDescent="0.35">
      <c r="B30" s="106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8"/>
    </row>
    <row r="31" spans="2:17" ht="15" thickBot="1" x14ac:dyDescent="0.35">
      <c r="B31" s="91" t="s">
        <v>16</v>
      </c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3"/>
    </row>
    <row r="32" spans="2:17" x14ac:dyDescent="0.3">
      <c r="B32" s="94" t="s">
        <v>17</v>
      </c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</row>
    <row r="33" spans="2:17" x14ac:dyDescent="0.3">
      <c r="B33" s="69" t="s">
        <v>18</v>
      </c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1"/>
    </row>
    <row r="34" spans="2:17" ht="15" thickBot="1" x14ac:dyDescent="0.35">
      <c r="B34" s="72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4"/>
    </row>
  </sheetData>
  <mergeCells count="6">
    <mergeCell ref="B33:Q33"/>
    <mergeCell ref="B34:Q34"/>
    <mergeCell ref="B12:Q12"/>
    <mergeCell ref="B30:Q30"/>
    <mergeCell ref="B31:Q31"/>
    <mergeCell ref="B32:Q32"/>
  </mergeCells>
  <conditionalFormatting sqref="G14:G24">
    <cfRule type="containsBlanks" dxfId="9" priority="1">
      <formula>LEN(TRIM(G14))=0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7CD2-C0D2-4B88-8F74-8FD0FFFBFF89}">
  <dimension ref="B1:P19"/>
  <sheetViews>
    <sheetView zoomScale="80" workbookViewId="0">
      <selection activeCell="B16" sqref="B16:P16"/>
    </sheetView>
  </sheetViews>
  <sheetFormatPr defaultColWidth="8.77734375" defaultRowHeight="14.4" x14ac:dyDescent="0.3"/>
  <cols>
    <col min="3" max="3" width="16.33203125" bestFit="1" customWidth="1"/>
    <col min="4" max="4" width="15" bestFit="1" customWidth="1"/>
    <col min="5" max="5" width="11.6640625" bestFit="1" customWidth="1"/>
    <col min="6" max="6" width="13" customWidth="1"/>
    <col min="7" max="7" width="17.77734375" bestFit="1" customWidth="1"/>
    <col min="8" max="8" width="7.33203125" customWidth="1"/>
    <col min="9" max="9" width="12.44140625" customWidth="1"/>
    <col min="10" max="10" width="14" customWidth="1"/>
    <col min="11" max="11" width="14.44140625" customWidth="1"/>
    <col min="14" max="14" width="13.6640625" bestFit="1" customWidth="1"/>
    <col min="15" max="15" width="11.77734375" bestFit="1" customWidth="1"/>
    <col min="16" max="16" width="11.44140625" bestFit="1" customWidth="1"/>
    <col min="17" max="17" width="32.77734375" bestFit="1" customWidth="1"/>
  </cols>
  <sheetData>
    <row r="1" spans="2:16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2:16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2:16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2:16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2:16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2:16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spans="2:16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</row>
    <row r="9" spans="2:16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</row>
    <row r="10" spans="2:16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</row>
    <row r="11" spans="2:16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2:16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9"/>
    </row>
    <row r="13" spans="2:16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</v>
      </c>
      <c r="I13" s="64" t="s">
        <v>5</v>
      </c>
      <c r="J13" s="64" t="s">
        <v>6</v>
      </c>
      <c r="K13" s="64" t="s">
        <v>7</v>
      </c>
      <c r="L13" s="64" t="s">
        <v>8</v>
      </c>
      <c r="M13" s="64" t="s">
        <v>9</v>
      </c>
      <c r="N13" s="64" t="s">
        <v>10</v>
      </c>
      <c r="O13" s="64" t="s">
        <v>11</v>
      </c>
      <c r="P13" s="65" t="s">
        <v>12</v>
      </c>
    </row>
    <row r="14" spans="2:16" x14ac:dyDescent="0.3">
      <c r="B14" s="1">
        <v>1</v>
      </c>
      <c r="C14" s="2" t="s">
        <v>13</v>
      </c>
      <c r="D14" s="3" t="s">
        <v>46</v>
      </c>
      <c r="E14" s="3">
        <v>92.7</v>
      </c>
      <c r="F14" s="3" t="s">
        <v>182</v>
      </c>
      <c r="G14" s="9" t="s">
        <v>80</v>
      </c>
      <c r="H14" s="9">
        <v>1</v>
      </c>
      <c r="I14" s="4">
        <v>15</v>
      </c>
      <c r="J14" s="4">
        <v>10</v>
      </c>
      <c r="K14" s="4">
        <v>30</v>
      </c>
      <c r="L14" s="5">
        <f t="shared" ref="L14" si="0">I14*J14*K14</f>
        <v>4500</v>
      </c>
      <c r="M14" s="6">
        <v>17</v>
      </c>
      <c r="N14" s="7">
        <f>M14*L14</f>
        <v>76500</v>
      </c>
      <c r="O14" s="7">
        <f>N14*18%</f>
        <v>13770</v>
      </c>
      <c r="P14" s="8">
        <f>N14+O14</f>
        <v>90270</v>
      </c>
    </row>
    <row r="15" spans="2:16" ht="16.2" thickBot="1" x14ac:dyDescent="0.35">
      <c r="B15" s="88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90"/>
    </row>
    <row r="16" spans="2:16" ht="15" thickBot="1" x14ac:dyDescent="0.35">
      <c r="B16" s="91" t="s">
        <v>16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3"/>
    </row>
    <row r="17" spans="2:16" x14ac:dyDescent="0.3">
      <c r="B17" s="94" t="s">
        <v>17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6"/>
    </row>
    <row r="18" spans="2:16" x14ac:dyDescent="0.3">
      <c r="B18" s="69" t="s">
        <v>18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1"/>
    </row>
    <row r="19" spans="2:16" ht="15" thickBot="1" x14ac:dyDescent="0.35"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4"/>
    </row>
  </sheetData>
  <mergeCells count="6">
    <mergeCell ref="B18:P18"/>
    <mergeCell ref="B19:P19"/>
    <mergeCell ref="B12:P12"/>
    <mergeCell ref="B15:P15"/>
    <mergeCell ref="B16:P16"/>
    <mergeCell ref="B17:P17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67AD-56BE-4C0D-B8A0-D7439BB9962B}">
  <dimension ref="B1:P20"/>
  <sheetViews>
    <sheetView zoomScale="64" workbookViewId="0">
      <selection activeCell="H5" sqref="H5"/>
    </sheetView>
  </sheetViews>
  <sheetFormatPr defaultColWidth="8.77734375" defaultRowHeight="14.4" x14ac:dyDescent="0.3"/>
  <cols>
    <col min="3" max="3" width="16.33203125" bestFit="1" customWidth="1"/>
    <col min="4" max="4" width="15" bestFit="1" customWidth="1"/>
    <col min="5" max="5" width="13.44140625" customWidth="1"/>
    <col min="6" max="6" width="24.6640625" customWidth="1"/>
    <col min="7" max="8" width="14.6640625" customWidth="1"/>
    <col min="9" max="9" width="12.44140625" customWidth="1"/>
    <col min="10" max="10" width="14" customWidth="1"/>
    <col min="11" max="11" width="14.44140625" customWidth="1"/>
    <col min="14" max="14" width="13.6640625" bestFit="1" customWidth="1"/>
    <col min="15" max="15" width="11.77734375" bestFit="1" customWidth="1"/>
    <col min="16" max="16" width="11.44140625" bestFit="1" customWidth="1"/>
    <col min="17" max="17" width="32.77734375" bestFit="1" customWidth="1"/>
  </cols>
  <sheetData>
    <row r="1" spans="2:16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2:16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2:16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2:16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2:16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2:16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spans="2:16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</row>
    <row r="9" spans="2:16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</row>
    <row r="10" spans="2:16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</row>
    <row r="11" spans="2:16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2:16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9"/>
    </row>
    <row r="13" spans="2:16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</v>
      </c>
      <c r="I13" s="64" t="s">
        <v>5</v>
      </c>
      <c r="J13" s="64" t="s">
        <v>6</v>
      </c>
      <c r="K13" s="64" t="s">
        <v>7</v>
      </c>
      <c r="L13" s="64" t="s">
        <v>8</v>
      </c>
      <c r="M13" s="64" t="s">
        <v>9</v>
      </c>
      <c r="N13" s="64" t="s">
        <v>10</v>
      </c>
      <c r="O13" s="64" t="s">
        <v>11</v>
      </c>
      <c r="P13" s="65" t="s">
        <v>12</v>
      </c>
    </row>
    <row r="14" spans="2:16" x14ac:dyDescent="0.3">
      <c r="B14" s="1">
        <v>1</v>
      </c>
      <c r="C14" s="2" t="s">
        <v>13</v>
      </c>
      <c r="D14" s="3" t="s">
        <v>38</v>
      </c>
      <c r="E14" s="3">
        <v>92.7</v>
      </c>
      <c r="F14" s="3" t="s">
        <v>181</v>
      </c>
      <c r="G14" s="9" t="s">
        <v>81</v>
      </c>
      <c r="H14" s="9" t="s">
        <v>15</v>
      </c>
      <c r="I14" s="4">
        <v>15</v>
      </c>
      <c r="J14" s="4">
        <v>10</v>
      </c>
      <c r="K14" s="4">
        <v>30</v>
      </c>
      <c r="L14" s="5">
        <f t="shared" ref="L14:L15" si="0">I14*J14*K14</f>
        <v>4500</v>
      </c>
      <c r="M14" s="6">
        <v>15</v>
      </c>
      <c r="N14" s="7">
        <f>M14*L14</f>
        <v>67500</v>
      </c>
      <c r="O14" s="7">
        <f>N14*18%</f>
        <v>12150</v>
      </c>
      <c r="P14" s="8">
        <f>N14+O14</f>
        <v>79650</v>
      </c>
    </row>
    <row r="15" spans="2:16" x14ac:dyDescent="0.3">
      <c r="B15" s="1">
        <v>2</v>
      </c>
      <c r="C15" s="2" t="s">
        <v>13</v>
      </c>
      <c r="D15" s="3" t="s">
        <v>47</v>
      </c>
      <c r="E15" s="3">
        <v>93.5</v>
      </c>
      <c r="F15" s="3" t="s">
        <v>181</v>
      </c>
      <c r="G15" s="9" t="s">
        <v>81</v>
      </c>
      <c r="H15" s="9" t="s">
        <v>70</v>
      </c>
      <c r="I15" s="4">
        <v>15</v>
      </c>
      <c r="J15" s="4">
        <v>10</v>
      </c>
      <c r="K15" s="4">
        <v>30</v>
      </c>
      <c r="L15" s="5">
        <f t="shared" si="0"/>
        <v>4500</v>
      </c>
      <c r="M15" s="6">
        <v>12</v>
      </c>
      <c r="N15" s="7">
        <f t="shared" ref="N15" si="1">M15*L15</f>
        <v>54000</v>
      </c>
      <c r="O15" s="7">
        <f t="shared" ref="O15" si="2">N15*18%</f>
        <v>9720</v>
      </c>
      <c r="P15" s="8">
        <f t="shared" ref="P15" si="3">N15+O15</f>
        <v>63720</v>
      </c>
    </row>
    <row r="16" spans="2:16" ht="16.2" thickBot="1" x14ac:dyDescent="0.35">
      <c r="B16" s="88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90"/>
    </row>
    <row r="17" spans="2:16" ht="15" thickBot="1" x14ac:dyDescent="0.35">
      <c r="B17" s="91" t="s">
        <v>16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3"/>
    </row>
    <row r="18" spans="2:16" x14ac:dyDescent="0.3">
      <c r="B18" s="94" t="s">
        <v>17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6"/>
    </row>
    <row r="19" spans="2:16" x14ac:dyDescent="0.3">
      <c r="B19" s="69" t="s">
        <v>18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1"/>
    </row>
    <row r="20" spans="2:16" ht="15" thickBot="1" x14ac:dyDescent="0.35"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</row>
  </sheetData>
  <mergeCells count="6">
    <mergeCell ref="B19:P19"/>
    <mergeCell ref="B20:P20"/>
    <mergeCell ref="B12:P12"/>
    <mergeCell ref="B16:P16"/>
    <mergeCell ref="B17:P17"/>
    <mergeCell ref="B18:P18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4225-E944-4F1A-8CCF-6C38E03FE0B5}">
  <dimension ref="B1:Q35"/>
  <sheetViews>
    <sheetView tabSelected="1" zoomScale="59" workbookViewId="0">
      <selection activeCell="E13" sqref="E13"/>
    </sheetView>
  </sheetViews>
  <sheetFormatPr defaultColWidth="8.77734375" defaultRowHeight="14.4" x14ac:dyDescent="0.3"/>
  <cols>
    <col min="3" max="3" width="16.33203125" bestFit="1" customWidth="1"/>
    <col min="4" max="4" width="21.6640625" customWidth="1"/>
    <col min="5" max="5" width="15.44140625" customWidth="1"/>
    <col min="6" max="6" width="22.6640625" customWidth="1"/>
    <col min="7" max="7" width="16.77734375" bestFit="1" customWidth="1"/>
    <col min="8" max="8" width="16.77734375" customWidth="1"/>
    <col min="9" max="9" width="9.109375" customWidth="1"/>
    <col min="10" max="11" width="11.44140625" customWidth="1"/>
    <col min="12" max="12" width="11.77734375" customWidth="1"/>
    <col min="15" max="15" width="10.6640625" bestFit="1" customWidth="1"/>
    <col min="17" max="17" width="10.664062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31">
        <v>1</v>
      </c>
      <c r="C14" s="32" t="s">
        <v>13</v>
      </c>
      <c r="D14" s="33" t="s">
        <v>44</v>
      </c>
      <c r="E14" s="33">
        <v>91.1</v>
      </c>
      <c r="F14" s="33" t="s">
        <v>157</v>
      </c>
      <c r="G14" s="33" t="s">
        <v>82</v>
      </c>
      <c r="H14" s="39" t="s">
        <v>169</v>
      </c>
      <c r="I14" s="39">
        <v>3</v>
      </c>
      <c r="J14" s="34">
        <v>15</v>
      </c>
      <c r="K14" s="34">
        <v>10</v>
      </c>
      <c r="L14" s="34">
        <v>30</v>
      </c>
      <c r="M14" s="35">
        <f t="shared" ref="M14:M29" si="0">J14*K14*L14</f>
        <v>4500</v>
      </c>
      <c r="N14" s="36">
        <v>40</v>
      </c>
      <c r="O14" s="37">
        <f>N14*M14</f>
        <v>180000</v>
      </c>
      <c r="P14" s="37">
        <f>O14*18%</f>
        <v>32400</v>
      </c>
      <c r="Q14" s="38">
        <f>O14+P14</f>
        <v>212400</v>
      </c>
    </row>
    <row r="15" spans="2:17" x14ac:dyDescent="0.3">
      <c r="B15" s="23">
        <v>2</v>
      </c>
      <c r="C15" s="2" t="s">
        <v>13</v>
      </c>
      <c r="D15" s="3" t="s">
        <v>163</v>
      </c>
      <c r="E15" s="3">
        <v>91.9</v>
      </c>
      <c r="F15" s="33" t="s">
        <v>157</v>
      </c>
      <c r="G15" s="3" t="s">
        <v>82</v>
      </c>
      <c r="H15" s="39" t="s">
        <v>170</v>
      </c>
      <c r="I15" s="39">
        <v>8</v>
      </c>
      <c r="J15" s="34">
        <v>15</v>
      </c>
      <c r="K15" s="34">
        <v>10</v>
      </c>
      <c r="L15" s="34">
        <v>30</v>
      </c>
      <c r="M15" s="5">
        <f t="shared" si="0"/>
        <v>4500</v>
      </c>
      <c r="N15" s="25">
        <v>38</v>
      </c>
      <c r="O15" s="37">
        <f t="shared" ref="O15:O30" si="1">N15*M15</f>
        <v>171000</v>
      </c>
      <c r="P15" s="37">
        <f t="shared" ref="P15:P30" si="2">O15*18%</f>
        <v>30780</v>
      </c>
      <c r="Q15" s="38">
        <f t="shared" ref="Q15:Q30" si="3">O15+P15</f>
        <v>201780</v>
      </c>
    </row>
    <row r="16" spans="2:17" x14ac:dyDescent="0.3">
      <c r="B16" s="23">
        <v>3</v>
      </c>
      <c r="C16" s="2" t="s">
        <v>13</v>
      </c>
      <c r="D16" s="3" t="s">
        <v>46</v>
      </c>
      <c r="E16" s="3">
        <v>92.7</v>
      </c>
      <c r="F16" s="33" t="s">
        <v>157</v>
      </c>
      <c r="G16" s="3" t="s">
        <v>82</v>
      </c>
      <c r="H16" s="39" t="s">
        <v>171</v>
      </c>
      <c r="I16" s="39">
        <v>1</v>
      </c>
      <c r="J16" s="34">
        <v>15</v>
      </c>
      <c r="K16" s="34">
        <v>10</v>
      </c>
      <c r="L16" s="34">
        <v>30</v>
      </c>
      <c r="M16" s="5">
        <f t="shared" si="0"/>
        <v>4500</v>
      </c>
      <c r="N16" s="25">
        <v>43</v>
      </c>
      <c r="O16" s="37">
        <f t="shared" si="1"/>
        <v>193500</v>
      </c>
      <c r="P16" s="37">
        <f t="shared" si="2"/>
        <v>34830</v>
      </c>
      <c r="Q16" s="38">
        <f t="shared" si="3"/>
        <v>228330</v>
      </c>
    </row>
    <row r="17" spans="2:17" x14ac:dyDescent="0.3">
      <c r="B17" s="23">
        <v>4</v>
      </c>
      <c r="C17" s="2" t="s">
        <v>13</v>
      </c>
      <c r="D17" s="3" t="s">
        <v>47</v>
      </c>
      <c r="E17" s="3">
        <v>93.5</v>
      </c>
      <c r="F17" s="33" t="s">
        <v>157</v>
      </c>
      <c r="G17" s="3" t="s">
        <v>82</v>
      </c>
      <c r="H17" s="39" t="s">
        <v>168</v>
      </c>
      <c r="I17" s="39">
        <v>4</v>
      </c>
      <c r="J17" s="34">
        <v>15</v>
      </c>
      <c r="K17" s="34">
        <v>10</v>
      </c>
      <c r="L17" s="34">
        <v>30</v>
      </c>
      <c r="M17" s="5">
        <f t="shared" si="0"/>
        <v>4500</v>
      </c>
      <c r="N17" s="25">
        <v>50</v>
      </c>
      <c r="O17" s="37">
        <f t="shared" si="1"/>
        <v>225000</v>
      </c>
      <c r="P17" s="37">
        <f t="shared" si="2"/>
        <v>40500</v>
      </c>
      <c r="Q17" s="38">
        <f t="shared" si="3"/>
        <v>265500</v>
      </c>
    </row>
    <row r="18" spans="2:17" x14ac:dyDescent="0.3">
      <c r="B18" s="23">
        <v>5</v>
      </c>
      <c r="C18" s="2" t="s">
        <v>13</v>
      </c>
      <c r="D18" s="3" t="s">
        <v>165</v>
      </c>
      <c r="E18" s="3">
        <v>94.3</v>
      </c>
      <c r="F18" s="33" t="s">
        <v>157</v>
      </c>
      <c r="G18" s="3" t="s">
        <v>82</v>
      </c>
      <c r="H18" s="39" t="s">
        <v>166</v>
      </c>
      <c r="I18" s="39">
        <v>6</v>
      </c>
      <c r="J18" s="34">
        <v>15</v>
      </c>
      <c r="K18" s="34">
        <v>10</v>
      </c>
      <c r="L18" s="34">
        <v>30</v>
      </c>
      <c r="M18" s="5">
        <f t="shared" si="0"/>
        <v>4500</v>
      </c>
      <c r="N18" s="25">
        <v>36</v>
      </c>
      <c r="O18" s="37">
        <f t="shared" si="1"/>
        <v>162000</v>
      </c>
      <c r="P18" s="37">
        <f t="shared" si="2"/>
        <v>29160</v>
      </c>
      <c r="Q18" s="38">
        <f t="shared" si="3"/>
        <v>191160</v>
      </c>
    </row>
    <row r="19" spans="2:17" x14ac:dyDescent="0.3">
      <c r="B19" s="23">
        <v>6</v>
      </c>
      <c r="C19" s="2" t="s">
        <v>13</v>
      </c>
      <c r="D19" s="3" t="s">
        <v>120</v>
      </c>
      <c r="E19" s="3">
        <v>98.3</v>
      </c>
      <c r="F19" s="33" t="s">
        <v>157</v>
      </c>
      <c r="G19" s="3" t="s">
        <v>82</v>
      </c>
      <c r="H19" s="39" t="s">
        <v>167</v>
      </c>
      <c r="I19" s="39">
        <v>2</v>
      </c>
      <c r="J19" s="34">
        <v>15</v>
      </c>
      <c r="K19" s="34">
        <v>10</v>
      </c>
      <c r="L19" s="34">
        <v>30</v>
      </c>
      <c r="M19" s="5">
        <f t="shared" si="0"/>
        <v>4500</v>
      </c>
      <c r="N19" s="25">
        <v>55</v>
      </c>
      <c r="O19" s="37">
        <f t="shared" si="1"/>
        <v>247500</v>
      </c>
      <c r="P19" s="37">
        <f t="shared" si="2"/>
        <v>44550</v>
      </c>
      <c r="Q19" s="38">
        <f t="shared" si="3"/>
        <v>292050</v>
      </c>
    </row>
    <row r="20" spans="2:17" x14ac:dyDescent="0.3">
      <c r="B20" s="23">
        <v>7</v>
      </c>
      <c r="C20" s="2" t="s">
        <v>13</v>
      </c>
      <c r="D20" s="3" t="s">
        <v>162</v>
      </c>
      <c r="E20" s="3">
        <v>104</v>
      </c>
      <c r="F20" s="33" t="s">
        <v>157</v>
      </c>
      <c r="G20" s="3" t="s">
        <v>82</v>
      </c>
      <c r="H20" s="39">
        <v>1.1000000000000001</v>
      </c>
      <c r="I20" s="39">
        <v>5</v>
      </c>
      <c r="J20" s="34">
        <v>15</v>
      </c>
      <c r="K20" s="34">
        <v>10</v>
      </c>
      <c r="L20" s="34">
        <v>30</v>
      </c>
      <c r="M20" s="5">
        <f t="shared" si="0"/>
        <v>4500</v>
      </c>
      <c r="N20" s="25">
        <v>45</v>
      </c>
      <c r="O20" s="37">
        <f t="shared" si="1"/>
        <v>202500</v>
      </c>
      <c r="P20" s="37">
        <f t="shared" si="2"/>
        <v>36450</v>
      </c>
      <c r="Q20" s="38">
        <f t="shared" si="3"/>
        <v>238950</v>
      </c>
    </row>
    <row r="21" spans="2:17" x14ac:dyDescent="0.3">
      <c r="B21" s="23">
        <v>8</v>
      </c>
      <c r="C21" s="2" t="s">
        <v>13</v>
      </c>
      <c r="D21" s="3" t="s">
        <v>164</v>
      </c>
      <c r="E21" s="12">
        <v>95</v>
      </c>
      <c r="F21" s="33" t="s">
        <v>157</v>
      </c>
      <c r="G21" s="3" t="s">
        <v>82</v>
      </c>
      <c r="H21" s="39" t="s">
        <v>172</v>
      </c>
      <c r="I21" s="39">
        <v>7</v>
      </c>
      <c r="J21" s="34">
        <v>15</v>
      </c>
      <c r="K21" s="34">
        <v>10</v>
      </c>
      <c r="L21" s="34">
        <v>30</v>
      </c>
      <c r="M21" s="5">
        <f t="shared" si="0"/>
        <v>4500</v>
      </c>
      <c r="N21" s="25">
        <v>65</v>
      </c>
      <c r="O21" s="37">
        <f t="shared" si="1"/>
        <v>292500</v>
      </c>
      <c r="P21" s="37">
        <f t="shared" si="2"/>
        <v>52650</v>
      </c>
      <c r="Q21" s="38">
        <f t="shared" si="3"/>
        <v>345150</v>
      </c>
    </row>
    <row r="22" spans="2:17" x14ac:dyDescent="0.3">
      <c r="B22" s="23">
        <v>9</v>
      </c>
      <c r="C22" s="2" t="s">
        <v>13</v>
      </c>
      <c r="D22" s="3" t="s">
        <v>47</v>
      </c>
      <c r="E22" s="3">
        <v>93.5</v>
      </c>
      <c r="F22" s="3" t="s">
        <v>158</v>
      </c>
      <c r="G22" s="3" t="s">
        <v>82</v>
      </c>
      <c r="H22" s="39" t="s">
        <v>173</v>
      </c>
      <c r="I22" s="39">
        <v>1</v>
      </c>
      <c r="J22" s="34">
        <v>15</v>
      </c>
      <c r="K22" s="34">
        <v>10</v>
      </c>
      <c r="L22" s="34">
        <v>30</v>
      </c>
      <c r="M22" s="5">
        <f t="shared" si="0"/>
        <v>4500</v>
      </c>
      <c r="N22" s="25">
        <v>35</v>
      </c>
      <c r="O22" s="37">
        <f t="shared" si="1"/>
        <v>157500</v>
      </c>
      <c r="P22" s="37">
        <f t="shared" si="2"/>
        <v>28350</v>
      </c>
      <c r="Q22" s="38">
        <f t="shared" si="3"/>
        <v>185850</v>
      </c>
    </row>
    <row r="23" spans="2:17" x14ac:dyDescent="0.3">
      <c r="B23" s="23">
        <v>10</v>
      </c>
      <c r="C23" s="2" t="s">
        <v>13</v>
      </c>
      <c r="D23" s="3" t="s">
        <v>120</v>
      </c>
      <c r="E23" s="3">
        <v>98.3</v>
      </c>
      <c r="F23" s="3" t="s">
        <v>158</v>
      </c>
      <c r="G23" s="3" t="s">
        <v>82</v>
      </c>
      <c r="H23" s="39" t="s">
        <v>174</v>
      </c>
      <c r="I23" s="39">
        <v>2</v>
      </c>
      <c r="J23" s="34">
        <v>15</v>
      </c>
      <c r="K23" s="34">
        <v>10</v>
      </c>
      <c r="L23" s="34">
        <v>30</v>
      </c>
      <c r="M23" s="5">
        <f t="shared" si="0"/>
        <v>4500</v>
      </c>
      <c r="N23" s="25">
        <v>20</v>
      </c>
      <c r="O23" s="37">
        <f t="shared" si="1"/>
        <v>90000</v>
      </c>
      <c r="P23" s="37">
        <f t="shared" si="2"/>
        <v>16200</v>
      </c>
      <c r="Q23" s="38">
        <f t="shared" si="3"/>
        <v>106200</v>
      </c>
    </row>
    <row r="24" spans="2:17" x14ac:dyDescent="0.3">
      <c r="B24" s="23">
        <v>11</v>
      </c>
      <c r="C24" s="2" t="s">
        <v>13</v>
      </c>
      <c r="D24" s="3" t="s">
        <v>47</v>
      </c>
      <c r="E24" s="3">
        <v>93.5</v>
      </c>
      <c r="F24" s="3" t="s">
        <v>159</v>
      </c>
      <c r="G24" s="3" t="s">
        <v>82</v>
      </c>
      <c r="H24" s="39" t="s">
        <v>15</v>
      </c>
      <c r="I24" s="39" t="s">
        <v>15</v>
      </c>
      <c r="J24" s="34">
        <v>15</v>
      </c>
      <c r="K24" s="34">
        <v>10</v>
      </c>
      <c r="L24" s="34">
        <v>30</v>
      </c>
      <c r="M24" s="5">
        <f t="shared" si="0"/>
        <v>4500</v>
      </c>
      <c r="N24" s="25">
        <v>15</v>
      </c>
      <c r="O24" s="37">
        <f t="shared" si="1"/>
        <v>67500</v>
      </c>
      <c r="P24" s="37">
        <f t="shared" si="2"/>
        <v>12150</v>
      </c>
      <c r="Q24" s="38">
        <f t="shared" si="3"/>
        <v>79650</v>
      </c>
    </row>
    <row r="25" spans="2:17" x14ac:dyDescent="0.3">
      <c r="B25" s="23">
        <v>12</v>
      </c>
      <c r="C25" s="2" t="s">
        <v>13</v>
      </c>
      <c r="D25" s="3" t="s">
        <v>46</v>
      </c>
      <c r="E25" s="3">
        <v>92.7</v>
      </c>
      <c r="F25" s="3" t="s">
        <v>160</v>
      </c>
      <c r="G25" s="3" t="s">
        <v>82</v>
      </c>
      <c r="H25" s="39" t="s">
        <v>176</v>
      </c>
      <c r="I25" s="39">
        <v>2</v>
      </c>
      <c r="J25" s="34">
        <v>15</v>
      </c>
      <c r="K25" s="34">
        <v>10</v>
      </c>
      <c r="L25" s="34">
        <v>30</v>
      </c>
      <c r="M25" s="5">
        <f t="shared" si="0"/>
        <v>4500</v>
      </c>
      <c r="N25" s="25">
        <v>13</v>
      </c>
      <c r="O25" s="37">
        <f t="shared" si="1"/>
        <v>58500</v>
      </c>
      <c r="P25" s="37">
        <f t="shared" si="2"/>
        <v>10530</v>
      </c>
      <c r="Q25" s="38">
        <f t="shared" si="3"/>
        <v>69030</v>
      </c>
    </row>
    <row r="26" spans="2:17" x14ac:dyDescent="0.3">
      <c r="B26" s="23">
        <v>13</v>
      </c>
      <c r="C26" s="2" t="s">
        <v>13</v>
      </c>
      <c r="D26" s="3" t="s">
        <v>47</v>
      </c>
      <c r="E26" s="3">
        <v>93.5</v>
      </c>
      <c r="F26" s="3" t="s">
        <v>160</v>
      </c>
      <c r="G26" s="3" t="s">
        <v>82</v>
      </c>
      <c r="H26" s="39" t="s">
        <v>175</v>
      </c>
      <c r="I26" s="39">
        <v>3</v>
      </c>
      <c r="J26" s="34">
        <v>15</v>
      </c>
      <c r="K26" s="34">
        <v>10</v>
      </c>
      <c r="L26" s="34">
        <v>30</v>
      </c>
      <c r="M26" s="5">
        <f t="shared" si="0"/>
        <v>4500</v>
      </c>
      <c r="N26" s="25">
        <v>15</v>
      </c>
      <c r="O26" s="37">
        <f t="shared" si="1"/>
        <v>67500</v>
      </c>
      <c r="P26" s="37">
        <f t="shared" si="2"/>
        <v>12150</v>
      </c>
      <c r="Q26" s="38">
        <f t="shared" si="3"/>
        <v>79650</v>
      </c>
    </row>
    <row r="27" spans="2:17" x14ac:dyDescent="0.3">
      <c r="B27" s="23">
        <v>14</v>
      </c>
      <c r="C27" s="2" t="s">
        <v>13</v>
      </c>
      <c r="D27" s="3" t="s">
        <v>120</v>
      </c>
      <c r="E27" s="3">
        <v>98.3</v>
      </c>
      <c r="F27" s="3" t="s">
        <v>160</v>
      </c>
      <c r="G27" s="3" t="s">
        <v>82</v>
      </c>
      <c r="H27" s="39" t="s">
        <v>177</v>
      </c>
      <c r="I27" s="39">
        <v>1</v>
      </c>
      <c r="J27" s="34">
        <v>15</v>
      </c>
      <c r="K27" s="34">
        <v>10</v>
      </c>
      <c r="L27" s="34">
        <v>30</v>
      </c>
      <c r="M27" s="5">
        <f t="shared" si="0"/>
        <v>4500</v>
      </c>
      <c r="N27" s="25">
        <v>15</v>
      </c>
      <c r="O27" s="37">
        <f t="shared" si="1"/>
        <v>67500</v>
      </c>
      <c r="P27" s="37">
        <f t="shared" si="2"/>
        <v>12150</v>
      </c>
      <c r="Q27" s="38">
        <f t="shared" si="3"/>
        <v>79650</v>
      </c>
    </row>
    <row r="28" spans="2:17" x14ac:dyDescent="0.3">
      <c r="B28" s="23">
        <v>15</v>
      </c>
      <c r="C28" s="2" t="s">
        <v>13</v>
      </c>
      <c r="D28" s="3" t="s">
        <v>46</v>
      </c>
      <c r="E28" s="3">
        <v>92.7</v>
      </c>
      <c r="F28" s="3" t="s">
        <v>161</v>
      </c>
      <c r="G28" s="3" t="s">
        <v>82</v>
      </c>
      <c r="H28" s="39" t="s">
        <v>180</v>
      </c>
      <c r="I28" s="39">
        <v>2</v>
      </c>
      <c r="J28" s="34">
        <v>15</v>
      </c>
      <c r="K28" s="34">
        <v>10</v>
      </c>
      <c r="L28" s="34">
        <v>30</v>
      </c>
      <c r="M28" s="5">
        <f t="shared" si="0"/>
        <v>4500</v>
      </c>
      <c r="N28" s="25">
        <v>11</v>
      </c>
      <c r="O28" s="37">
        <f t="shared" si="1"/>
        <v>49500</v>
      </c>
      <c r="P28" s="37">
        <f t="shared" si="2"/>
        <v>8910</v>
      </c>
      <c r="Q28" s="38">
        <f t="shared" si="3"/>
        <v>58410</v>
      </c>
    </row>
    <row r="29" spans="2:17" x14ac:dyDescent="0.3">
      <c r="B29" s="23">
        <v>16</v>
      </c>
      <c r="C29" s="2" t="s">
        <v>13</v>
      </c>
      <c r="D29" s="3" t="s">
        <v>47</v>
      </c>
      <c r="E29" s="3">
        <v>93.5</v>
      </c>
      <c r="F29" s="3" t="s">
        <v>161</v>
      </c>
      <c r="G29" s="3" t="s">
        <v>82</v>
      </c>
      <c r="H29" s="39" t="s">
        <v>179</v>
      </c>
      <c r="I29" s="39">
        <v>1</v>
      </c>
      <c r="J29" s="34">
        <v>15</v>
      </c>
      <c r="K29" s="34">
        <v>10</v>
      </c>
      <c r="L29" s="34">
        <v>30</v>
      </c>
      <c r="M29" s="5">
        <f t="shared" si="0"/>
        <v>4500</v>
      </c>
      <c r="N29" s="25">
        <v>13</v>
      </c>
      <c r="O29" s="37">
        <f t="shared" si="1"/>
        <v>58500</v>
      </c>
      <c r="P29" s="37">
        <f t="shared" si="2"/>
        <v>10530</v>
      </c>
      <c r="Q29" s="38">
        <f t="shared" si="3"/>
        <v>69030</v>
      </c>
    </row>
    <row r="30" spans="2:17" ht="15" thickBot="1" x14ac:dyDescent="0.35">
      <c r="B30" s="23">
        <v>17</v>
      </c>
      <c r="C30" s="40" t="s">
        <v>13</v>
      </c>
      <c r="D30" s="3" t="s">
        <v>120</v>
      </c>
      <c r="E30" s="30">
        <v>104.8</v>
      </c>
      <c r="F30" s="3" t="s">
        <v>161</v>
      </c>
      <c r="G30" s="30" t="s">
        <v>82</v>
      </c>
      <c r="H30" s="39" t="s">
        <v>178</v>
      </c>
      <c r="I30" s="39">
        <v>3</v>
      </c>
      <c r="J30" s="34">
        <v>15</v>
      </c>
      <c r="K30" s="34">
        <v>10</v>
      </c>
      <c r="L30" s="34">
        <v>30</v>
      </c>
      <c r="M30" s="41">
        <f>J30*K30*L30</f>
        <v>4500</v>
      </c>
      <c r="N30" s="27">
        <v>15</v>
      </c>
      <c r="O30" s="37">
        <f t="shared" si="1"/>
        <v>67500</v>
      </c>
      <c r="P30" s="37">
        <f t="shared" si="2"/>
        <v>12150</v>
      </c>
      <c r="Q30" s="38">
        <f t="shared" si="3"/>
        <v>79650</v>
      </c>
    </row>
    <row r="31" spans="2:17" ht="15" thickBot="1" x14ac:dyDescent="0.35">
      <c r="B31" s="109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1"/>
    </row>
    <row r="32" spans="2:17" ht="15" thickBot="1" x14ac:dyDescent="0.35">
      <c r="B32" s="91" t="s">
        <v>16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</row>
    <row r="33" spans="2:17" x14ac:dyDescent="0.3">
      <c r="B33" s="94" t="s">
        <v>17</v>
      </c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</row>
    <row r="34" spans="2:17" x14ac:dyDescent="0.3">
      <c r="B34" s="69" t="s">
        <v>18</v>
      </c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1"/>
    </row>
    <row r="35" spans="2:17" ht="15" thickBot="1" x14ac:dyDescent="0.35"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4"/>
    </row>
  </sheetData>
  <mergeCells count="6">
    <mergeCell ref="B34:Q34"/>
    <mergeCell ref="B35:Q35"/>
    <mergeCell ref="B12:Q12"/>
    <mergeCell ref="B31:Q31"/>
    <mergeCell ref="B32:Q32"/>
    <mergeCell ref="B33:Q33"/>
  </mergeCells>
  <conditionalFormatting sqref="G14:I22 H14:I30 G23:G24 G30">
    <cfRule type="containsBlanks" dxfId="8" priority="1">
      <formula>LEN(TRIM(G14))=0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039A-908C-4C47-93D1-2605B067B321}">
  <dimension ref="B1:Q28"/>
  <sheetViews>
    <sheetView zoomScale="81" workbookViewId="0">
      <selection activeCell="H7" sqref="H7"/>
    </sheetView>
  </sheetViews>
  <sheetFormatPr defaultColWidth="8.77734375" defaultRowHeight="14.4" x14ac:dyDescent="0.3"/>
  <cols>
    <col min="3" max="3" width="16.33203125" bestFit="1" customWidth="1"/>
    <col min="4" max="4" width="19.44140625" bestFit="1" customWidth="1"/>
    <col min="5" max="5" width="16.33203125" bestFit="1" customWidth="1"/>
    <col min="6" max="6" width="19" customWidth="1"/>
    <col min="7" max="7" width="19.33203125" customWidth="1"/>
    <col min="8" max="9" width="16.77734375" customWidth="1"/>
    <col min="10" max="11" width="11.44140625" customWidth="1"/>
    <col min="12" max="12" width="11.77734375" customWidth="1"/>
    <col min="15" max="15" width="10.6640625" bestFit="1" customWidth="1"/>
    <col min="17" max="17" width="10.664062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23">
        <v>1</v>
      </c>
      <c r="C14" s="2" t="s">
        <v>13</v>
      </c>
      <c r="D14" s="3" t="s">
        <v>47</v>
      </c>
      <c r="E14" s="3">
        <v>93.5</v>
      </c>
      <c r="F14" s="3" t="s">
        <v>145</v>
      </c>
      <c r="G14" s="9" t="s">
        <v>83</v>
      </c>
      <c r="H14" s="3" t="s">
        <v>150</v>
      </c>
      <c r="I14" s="3" t="s">
        <v>15</v>
      </c>
      <c r="J14" s="4">
        <v>15</v>
      </c>
      <c r="K14" s="4">
        <v>10</v>
      </c>
      <c r="L14" s="4">
        <v>30</v>
      </c>
      <c r="M14" s="5">
        <f t="shared" ref="M14:M23" si="0">J14*K14*L14</f>
        <v>4500</v>
      </c>
      <c r="N14" s="25">
        <v>21</v>
      </c>
      <c r="O14" s="7">
        <f>N14*M14</f>
        <v>94500</v>
      </c>
      <c r="P14" s="7">
        <f>O14*18%</f>
        <v>17010</v>
      </c>
      <c r="Q14" s="8">
        <f>O14+P14</f>
        <v>111510</v>
      </c>
    </row>
    <row r="15" spans="2:17" x14ac:dyDescent="0.3">
      <c r="B15" s="23">
        <v>2</v>
      </c>
      <c r="C15" s="2" t="s">
        <v>13</v>
      </c>
      <c r="D15" s="3" t="s">
        <v>47</v>
      </c>
      <c r="E15" s="3">
        <v>93.5</v>
      </c>
      <c r="F15" s="3" t="s">
        <v>146</v>
      </c>
      <c r="G15" s="9" t="s">
        <v>83</v>
      </c>
      <c r="H15" s="3" t="s">
        <v>15</v>
      </c>
      <c r="I15" s="3" t="s">
        <v>15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25">
        <v>18</v>
      </c>
      <c r="O15" s="7">
        <f t="shared" ref="O15:O23" si="1">N15*M15</f>
        <v>81000</v>
      </c>
      <c r="P15" s="7">
        <f t="shared" ref="P15:P23" si="2">O15*18%</f>
        <v>14580</v>
      </c>
      <c r="Q15" s="8">
        <f t="shared" ref="Q15:Q23" si="3">O15+P15</f>
        <v>95580</v>
      </c>
    </row>
    <row r="16" spans="2:17" x14ac:dyDescent="0.3">
      <c r="B16" s="23">
        <v>3</v>
      </c>
      <c r="C16" s="2" t="s">
        <v>13</v>
      </c>
      <c r="D16" s="3" t="s">
        <v>120</v>
      </c>
      <c r="E16" s="3">
        <v>91.1</v>
      </c>
      <c r="F16" s="3" t="s">
        <v>146</v>
      </c>
      <c r="G16" s="9" t="s">
        <v>83</v>
      </c>
      <c r="H16" s="3" t="s">
        <v>15</v>
      </c>
      <c r="I16" s="3" t="s">
        <v>15</v>
      </c>
      <c r="J16" s="4">
        <v>15</v>
      </c>
      <c r="K16" s="4">
        <v>10</v>
      </c>
      <c r="L16" s="4">
        <v>30</v>
      </c>
      <c r="M16" s="5">
        <f t="shared" ref="M16" si="4">J16*K16*L16</f>
        <v>4500</v>
      </c>
      <c r="N16" s="25">
        <v>18</v>
      </c>
      <c r="O16" s="7">
        <f t="shared" ref="O16" si="5">N16*M16</f>
        <v>81000</v>
      </c>
      <c r="P16" s="7">
        <f t="shared" ref="P16" si="6">O16*18%</f>
        <v>14580</v>
      </c>
      <c r="Q16" s="8">
        <f t="shared" ref="Q16" si="7">O16+P16</f>
        <v>95580</v>
      </c>
    </row>
    <row r="17" spans="2:17" x14ac:dyDescent="0.3">
      <c r="B17" s="23">
        <v>4</v>
      </c>
      <c r="C17" s="2" t="s">
        <v>13</v>
      </c>
      <c r="D17" s="3" t="s">
        <v>46</v>
      </c>
      <c r="E17" s="3">
        <v>92.7</v>
      </c>
      <c r="F17" s="9" t="s">
        <v>147</v>
      </c>
      <c r="G17" s="9" t="s">
        <v>83</v>
      </c>
      <c r="H17" s="3" t="s">
        <v>15</v>
      </c>
      <c r="I17" s="3" t="s">
        <v>15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25">
        <v>13</v>
      </c>
      <c r="O17" s="7">
        <f t="shared" si="1"/>
        <v>58500</v>
      </c>
      <c r="P17" s="7">
        <f t="shared" si="2"/>
        <v>10530</v>
      </c>
      <c r="Q17" s="8">
        <f t="shared" si="3"/>
        <v>69030</v>
      </c>
    </row>
    <row r="18" spans="2:17" x14ac:dyDescent="0.3">
      <c r="B18" s="23">
        <v>5</v>
      </c>
      <c r="C18" s="2" t="s">
        <v>13</v>
      </c>
      <c r="D18" s="3" t="s">
        <v>47</v>
      </c>
      <c r="E18" s="3">
        <v>93.5</v>
      </c>
      <c r="F18" s="3" t="s">
        <v>147</v>
      </c>
      <c r="G18" s="9" t="s">
        <v>83</v>
      </c>
      <c r="H18" s="3" t="s">
        <v>15</v>
      </c>
      <c r="I18" s="3" t="s">
        <v>15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25">
        <v>15</v>
      </c>
      <c r="O18" s="7">
        <f t="shared" si="1"/>
        <v>67500</v>
      </c>
      <c r="P18" s="7">
        <f t="shared" si="2"/>
        <v>12150</v>
      </c>
      <c r="Q18" s="8">
        <f t="shared" si="3"/>
        <v>79650</v>
      </c>
    </row>
    <row r="19" spans="2:17" x14ac:dyDescent="0.3">
      <c r="B19" s="23">
        <v>6</v>
      </c>
      <c r="C19" s="2" t="s">
        <v>13</v>
      </c>
      <c r="D19" s="3" t="s">
        <v>47</v>
      </c>
      <c r="E19" s="3">
        <v>93.5</v>
      </c>
      <c r="F19" s="3" t="s">
        <v>148</v>
      </c>
      <c r="G19" s="9" t="s">
        <v>83</v>
      </c>
      <c r="H19" s="3" t="s">
        <v>154</v>
      </c>
      <c r="I19" s="3">
        <v>2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25">
        <v>18</v>
      </c>
      <c r="O19" s="7">
        <f t="shared" si="1"/>
        <v>81000</v>
      </c>
      <c r="P19" s="7">
        <f t="shared" si="2"/>
        <v>14580</v>
      </c>
      <c r="Q19" s="8">
        <f t="shared" si="3"/>
        <v>95580</v>
      </c>
    </row>
    <row r="20" spans="2:17" x14ac:dyDescent="0.3">
      <c r="B20" s="23">
        <v>7</v>
      </c>
      <c r="C20" s="2" t="s">
        <v>13</v>
      </c>
      <c r="D20" s="3" t="s">
        <v>120</v>
      </c>
      <c r="E20" s="3">
        <v>98.3</v>
      </c>
      <c r="F20" s="3" t="s">
        <v>148</v>
      </c>
      <c r="G20" s="9" t="s">
        <v>83</v>
      </c>
      <c r="H20" s="3" t="s">
        <v>155</v>
      </c>
      <c r="I20" s="3">
        <v>1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25">
        <v>18</v>
      </c>
      <c r="O20" s="7">
        <f t="shared" si="1"/>
        <v>81000</v>
      </c>
      <c r="P20" s="7">
        <f t="shared" si="2"/>
        <v>14580</v>
      </c>
      <c r="Q20" s="8">
        <f t="shared" si="3"/>
        <v>95580</v>
      </c>
    </row>
    <row r="21" spans="2:17" x14ac:dyDescent="0.3">
      <c r="B21" s="23">
        <v>8</v>
      </c>
      <c r="C21" s="2" t="s">
        <v>13</v>
      </c>
      <c r="D21" s="3" t="s">
        <v>44</v>
      </c>
      <c r="E21" s="3">
        <v>91.1</v>
      </c>
      <c r="F21" s="3" t="s">
        <v>149</v>
      </c>
      <c r="G21" s="9" t="s">
        <v>83</v>
      </c>
      <c r="H21" s="3" t="s">
        <v>15</v>
      </c>
      <c r="I21" s="3" t="s">
        <v>15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25">
        <v>18</v>
      </c>
      <c r="O21" s="7">
        <f t="shared" si="1"/>
        <v>81000</v>
      </c>
      <c r="P21" s="7">
        <f t="shared" si="2"/>
        <v>14580</v>
      </c>
      <c r="Q21" s="8">
        <f t="shared" si="3"/>
        <v>95580</v>
      </c>
    </row>
    <row r="22" spans="2:17" x14ac:dyDescent="0.3">
      <c r="B22" s="23">
        <v>9</v>
      </c>
      <c r="C22" s="2" t="s">
        <v>13</v>
      </c>
      <c r="D22" s="3" t="s">
        <v>47</v>
      </c>
      <c r="E22" s="3">
        <v>93.5</v>
      </c>
      <c r="F22" s="3" t="s">
        <v>149</v>
      </c>
      <c r="G22" s="9" t="s">
        <v>83</v>
      </c>
      <c r="H22" s="3" t="s">
        <v>151</v>
      </c>
      <c r="I22" s="3">
        <v>2</v>
      </c>
      <c r="J22" s="4">
        <v>15</v>
      </c>
      <c r="K22" s="4">
        <v>10</v>
      </c>
      <c r="L22" s="4">
        <v>30</v>
      </c>
      <c r="M22" s="5">
        <f t="shared" si="0"/>
        <v>4500</v>
      </c>
      <c r="N22" s="25">
        <v>18</v>
      </c>
      <c r="O22" s="7">
        <f t="shared" si="1"/>
        <v>81000</v>
      </c>
      <c r="P22" s="7">
        <f t="shared" si="2"/>
        <v>14580</v>
      </c>
      <c r="Q22" s="8">
        <f t="shared" si="3"/>
        <v>95580</v>
      </c>
    </row>
    <row r="23" spans="2:17" x14ac:dyDescent="0.3">
      <c r="B23" s="23">
        <v>10</v>
      </c>
      <c r="C23" s="2" t="s">
        <v>13</v>
      </c>
      <c r="D23" s="3" t="s">
        <v>120</v>
      </c>
      <c r="E23" s="3">
        <v>98.3</v>
      </c>
      <c r="F23" s="3" t="s">
        <v>149</v>
      </c>
      <c r="G23" s="9" t="s">
        <v>83</v>
      </c>
      <c r="H23" s="3" t="s">
        <v>156</v>
      </c>
      <c r="I23" s="3">
        <v>1</v>
      </c>
      <c r="J23" s="4">
        <v>15</v>
      </c>
      <c r="K23" s="4">
        <v>10</v>
      </c>
      <c r="L23" s="4">
        <v>30</v>
      </c>
      <c r="M23" s="5">
        <f t="shared" si="0"/>
        <v>4500</v>
      </c>
      <c r="N23" s="25">
        <v>18</v>
      </c>
      <c r="O23" s="7">
        <f t="shared" si="1"/>
        <v>81000</v>
      </c>
      <c r="P23" s="7">
        <f t="shared" si="2"/>
        <v>14580</v>
      </c>
      <c r="Q23" s="8">
        <f t="shared" si="3"/>
        <v>95580</v>
      </c>
    </row>
    <row r="24" spans="2:17" ht="16.2" thickBot="1" x14ac:dyDescent="0.35">
      <c r="B24" s="106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8"/>
    </row>
    <row r="25" spans="2:17" ht="15" thickBot="1" x14ac:dyDescent="0.35">
      <c r="B25" s="91" t="s">
        <v>16</v>
      </c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3"/>
    </row>
    <row r="26" spans="2:17" x14ac:dyDescent="0.3">
      <c r="B26" s="94" t="s">
        <v>17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6"/>
    </row>
    <row r="27" spans="2:17" x14ac:dyDescent="0.3">
      <c r="B27" s="69" t="s">
        <v>18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1"/>
    </row>
    <row r="28" spans="2:17" ht="15" thickBot="1" x14ac:dyDescent="0.35">
      <c r="B28" s="72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4"/>
    </row>
  </sheetData>
  <mergeCells count="6">
    <mergeCell ref="B27:Q27"/>
    <mergeCell ref="B28:Q28"/>
    <mergeCell ref="B12:Q12"/>
    <mergeCell ref="B24:Q24"/>
    <mergeCell ref="B25:Q25"/>
    <mergeCell ref="B26:Q26"/>
  </mergeCells>
  <conditionalFormatting sqref="G14:G15 G17:G23">
    <cfRule type="containsBlanks" dxfId="7" priority="2">
      <formula>LEN(TRIM(G14))=0</formula>
    </cfRule>
  </conditionalFormatting>
  <conditionalFormatting sqref="G16">
    <cfRule type="containsBlanks" dxfId="6" priority="1">
      <formula>LEN(TRIM(G16))=0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CCE4-1EE9-4661-90D5-BA7F984DD207}">
  <dimension ref="B1:Q29"/>
  <sheetViews>
    <sheetView zoomScale="76" workbookViewId="0">
      <selection activeCell="H5" sqref="H5"/>
    </sheetView>
  </sheetViews>
  <sheetFormatPr defaultColWidth="8.77734375" defaultRowHeight="14.4" x14ac:dyDescent="0.3"/>
  <cols>
    <col min="3" max="3" width="16.33203125" bestFit="1" customWidth="1"/>
    <col min="4" max="4" width="19.44140625" bestFit="1" customWidth="1"/>
    <col min="5" max="5" width="16.33203125" bestFit="1" customWidth="1"/>
    <col min="6" max="6" width="14.109375" customWidth="1"/>
    <col min="7" max="7" width="16.77734375" bestFit="1" customWidth="1"/>
    <col min="8" max="8" width="13.44140625" bestFit="1" customWidth="1"/>
    <col min="9" max="9" width="6.44140625" bestFit="1" customWidth="1"/>
    <col min="10" max="11" width="11.44140625" customWidth="1"/>
    <col min="12" max="12" width="11.77734375" customWidth="1"/>
    <col min="15" max="15" width="10.6640625" bestFit="1" customWidth="1"/>
    <col min="17" max="17" width="10.664062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23">
        <v>1</v>
      </c>
      <c r="C14" s="2" t="s">
        <v>13</v>
      </c>
      <c r="D14" s="3" t="s">
        <v>140</v>
      </c>
      <c r="E14" s="3">
        <v>94.3</v>
      </c>
      <c r="F14" s="3" t="s">
        <v>135</v>
      </c>
      <c r="G14" s="9" t="s">
        <v>85</v>
      </c>
      <c r="H14" s="3" t="s">
        <v>15</v>
      </c>
      <c r="I14" s="3" t="s">
        <v>15</v>
      </c>
      <c r="J14" s="4">
        <v>15</v>
      </c>
      <c r="K14" s="4">
        <v>10</v>
      </c>
      <c r="L14" s="4">
        <v>30</v>
      </c>
      <c r="M14" s="5">
        <f t="shared" ref="M14:M24" si="0">J14*K14*L14</f>
        <v>4500</v>
      </c>
      <c r="N14" s="25">
        <v>18</v>
      </c>
      <c r="O14" s="7">
        <f>N14*M14</f>
        <v>81000</v>
      </c>
      <c r="P14" s="7">
        <f>O14*18%</f>
        <v>14580</v>
      </c>
      <c r="Q14" s="8">
        <f>O14+P14</f>
        <v>95580</v>
      </c>
    </row>
    <row r="15" spans="2:17" x14ac:dyDescent="0.3">
      <c r="B15" s="23">
        <v>2</v>
      </c>
      <c r="C15" s="2" t="s">
        <v>13</v>
      </c>
      <c r="D15" s="3" t="s">
        <v>42</v>
      </c>
      <c r="E15" s="3">
        <v>93.5</v>
      </c>
      <c r="F15" s="3" t="s">
        <v>136</v>
      </c>
      <c r="G15" s="9" t="s">
        <v>85</v>
      </c>
      <c r="H15" s="3" t="s">
        <v>15</v>
      </c>
      <c r="I15" s="3" t="s">
        <v>15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25">
        <v>15</v>
      </c>
      <c r="O15" s="7">
        <f t="shared" ref="O15:O24" si="1">N15*M15</f>
        <v>67500</v>
      </c>
      <c r="P15" s="7">
        <f t="shared" ref="P15:P24" si="2">O15*18%</f>
        <v>12150</v>
      </c>
      <c r="Q15" s="8">
        <f t="shared" ref="Q15:Q24" si="3">O15+P15</f>
        <v>79650</v>
      </c>
    </row>
    <row r="16" spans="2:17" x14ac:dyDescent="0.3">
      <c r="B16" s="23">
        <v>3</v>
      </c>
      <c r="C16" s="2" t="s">
        <v>13</v>
      </c>
      <c r="D16" s="3" t="s">
        <v>46</v>
      </c>
      <c r="E16" s="3">
        <v>92.7</v>
      </c>
      <c r="F16" s="3" t="s">
        <v>136</v>
      </c>
      <c r="G16" s="9" t="s">
        <v>85</v>
      </c>
      <c r="H16" s="3" t="s">
        <v>141</v>
      </c>
      <c r="I16" s="3">
        <v>1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25">
        <v>15</v>
      </c>
      <c r="O16" s="7">
        <f t="shared" si="1"/>
        <v>67500</v>
      </c>
      <c r="P16" s="7">
        <f t="shared" si="2"/>
        <v>12150</v>
      </c>
      <c r="Q16" s="8">
        <f t="shared" si="3"/>
        <v>79650</v>
      </c>
    </row>
    <row r="17" spans="2:17" x14ac:dyDescent="0.3">
      <c r="B17" s="23">
        <v>4</v>
      </c>
      <c r="C17" s="2" t="s">
        <v>13</v>
      </c>
      <c r="D17" s="3" t="s">
        <v>43</v>
      </c>
      <c r="E17" s="12">
        <v>95</v>
      </c>
      <c r="F17" s="3" t="s">
        <v>136</v>
      </c>
      <c r="G17" s="9" t="s">
        <v>85</v>
      </c>
      <c r="H17" s="3" t="s">
        <v>143</v>
      </c>
      <c r="I17" s="3">
        <v>3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25">
        <v>12</v>
      </c>
      <c r="O17" s="7">
        <f t="shared" si="1"/>
        <v>54000</v>
      </c>
      <c r="P17" s="7">
        <f t="shared" si="2"/>
        <v>9720</v>
      </c>
      <c r="Q17" s="8">
        <f t="shared" si="3"/>
        <v>63720</v>
      </c>
    </row>
    <row r="18" spans="2:17" x14ac:dyDescent="0.3">
      <c r="B18" s="23">
        <v>5</v>
      </c>
      <c r="C18" s="2" t="s">
        <v>13</v>
      </c>
      <c r="D18" s="3" t="s">
        <v>41</v>
      </c>
      <c r="E18" s="3">
        <v>98.3</v>
      </c>
      <c r="F18" s="3" t="s">
        <v>136</v>
      </c>
      <c r="G18" s="9" t="s">
        <v>85</v>
      </c>
      <c r="H18" s="3" t="s">
        <v>142</v>
      </c>
      <c r="I18" s="3">
        <v>2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25">
        <v>20</v>
      </c>
      <c r="O18" s="7">
        <f t="shared" si="1"/>
        <v>90000</v>
      </c>
      <c r="P18" s="7">
        <f t="shared" si="2"/>
        <v>16200</v>
      </c>
      <c r="Q18" s="8">
        <f t="shared" si="3"/>
        <v>106200</v>
      </c>
    </row>
    <row r="19" spans="2:17" x14ac:dyDescent="0.3">
      <c r="B19" s="23">
        <v>6</v>
      </c>
      <c r="C19" s="2" t="s">
        <v>13</v>
      </c>
      <c r="D19" s="3" t="s">
        <v>140</v>
      </c>
      <c r="E19" s="3">
        <v>91.1</v>
      </c>
      <c r="F19" s="3" t="s">
        <v>137</v>
      </c>
      <c r="G19" s="9" t="s">
        <v>85</v>
      </c>
      <c r="H19" s="3" t="s">
        <v>15</v>
      </c>
      <c r="I19" s="3" t="s">
        <v>15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25">
        <v>20</v>
      </c>
      <c r="O19" s="7">
        <f t="shared" si="1"/>
        <v>90000</v>
      </c>
      <c r="P19" s="7">
        <f t="shared" si="2"/>
        <v>16200</v>
      </c>
      <c r="Q19" s="8">
        <f t="shared" si="3"/>
        <v>106200</v>
      </c>
    </row>
    <row r="20" spans="2:17" x14ac:dyDescent="0.3">
      <c r="B20" s="23">
        <v>7</v>
      </c>
      <c r="C20" s="2" t="s">
        <v>13</v>
      </c>
      <c r="D20" s="3" t="s">
        <v>140</v>
      </c>
      <c r="E20" s="3">
        <v>94.4</v>
      </c>
      <c r="F20" s="3" t="s">
        <v>138</v>
      </c>
      <c r="G20" s="9" t="s">
        <v>85</v>
      </c>
      <c r="H20" s="3" t="s">
        <v>15</v>
      </c>
      <c r="I20" s="3" t="s">
        <v>15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25">
        <v>20</v>
      </c>
      <c r="O20" s="7">
        <f t="shared" si="1"/>
        <v>90000</v>
      </c>
      <c r="P20" s="7">
        <f t="shared" si="2"/>
        <v>16200</v>
      </c>
      <c r="Q20" s="8">
        <f t="shared" si="3"/>
        <v>106200</v>
      </c>
    </row>
    <row r="21" spans="2:17" x14ac:dyDescent="0.3">
      <c r="B21" s="23">
        <v>8</v>
      </c>
      <c r="C21" s="2" t="s">
        <v>13</v>
      </c>
      <c r="D21" s="3" t="s">
        <v>46</v>
      </c>
      <c r="E21" s="3">
        <v>92.7</v>
      </c>
      <c r="F21" s="3" t="s">
        <v>139</v>
      </c>
      <c r="G21" s="9" t="s">
        <v>85</v>
      </c>
      <c r="H21" s="3" t="s">
        <v>15</v>
      </c>
      <c r="I21" s="3" t="s">
        <v>15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25">
        <v>18</v>
      </c>
      <c r="O21" s="7">
        <f t="shared" si="1"/>
        <v>81000</v>
      </c>
      <c r="P21" s="7">
        <f t="shared" si="2"/>
        <v>14580</v>
      </c>
      <c r="Q21" s="8">
        <f t="shared" si="3"/>
        <v>95580</v>
      </c>
    </row>
    <row r="22" spans="2:17" x14ac:dyDescent="0.3">
      <c r="B22" s="23">
        <v>9</v>
      </c>
      <c r="C22" s="2" t="s">
        <v>13</v>
      </c>
      <c r="D22" s="3" t="s">
        <v>42</v>
      </c>
      <c r="E22" s="3">
        <v>93.5</v>
      </c>
      <c r="F22" s="3" t="s">
        <v>139</v>
      </c>
      <c r="G22" s="9" t="s">
        <v>85</v>
      </c>
      <c r="H22" s="3" t="s">
        <v>15</v>
      </c>
      <c r="I22" s="3" t="s">
        <v>15</v>
      </c>
      <c r="J22" s="4">
        <v>15</v>
      </c>
      <c r="K22" s="4">
        <v>10</v>
      </c>
      <c r="L22" s="4">
        <v>30</v>
      </c>
      <c r="M22" s="5">
        <f t="shared" si="0"/>
        <v>4500</v>
      </c>
      <c r="N22" s="25">
        <v>20</v>
      </c>
      <c r="O22" s="7">
        <f t="shared" si="1"/>
        <v>90000</v>
      </c>
      <c r="P22" s="7">
        <f t="shared" si="2"/>
        <v>16200</v>
      </c>
      <c r="Q22" s="8">
        <f t="shared" si="3"/>
        <v>106200</v>
      </c>
    </row>
    <row r="23" spans="2:17" x14ac:dyDescent="0.3">
      <c r="B23" s="23">
        <v>10</v>
      </c>
      <c r="C23" s="2" t="s">
        <v>13</v>
      </c>
      <c r="D23" s="3" t="s">
        <v>43</v>
      </c>
      <c r="E23" s="12">
        <v>95</v>
      </c>
      <c r="F23" s="3" t="s">
        <v>139</v>
      </c>
      <c r="G23" s="9" t="s">
        <v>85</v>
      </c>
      <c r="H23" s="3" t="s">
        <v>15</v>
      </c>
      <c r="I23" s="3" t="s">
        <v>15</v>
      </c>
      <c r="J23" s="4">
        <v>15</v>
      </c>
      <c r="K23" s="4">
        <v>10</v>
      </c>
      <c r="L23" s="4">
        <v>30</v>
      </c>
      <c r="M23" s="5">
        <f t="shared" si="0"/>
        <v>4500</v>
      </c>
      <c r="N23" s="25">
        <v>10</v>
      </c>
      <c r="O23" s="7">
        <f t="shared" si="1"/>
        <v>45000</v>
      </c>
      <c r="P23" s="7">
        <f t="shared" si="2"/>
        <v>8100</v>
      </c>
      <c r="Q23" s="8">
        <f t="shared" si="3"/>
        <v>53100</v>
      </c>
    </row>
    <row r="24" spans="2:17" x14ac:dyDescent="0.3">
      <c r="B24" s="23">
        <v>11</v>
      </c>
      <c r="C24" s="2" t="s">
        <v>13</v>
      </c>
      <c r="D24" s="3" t="s">
        <v>41</v>
      </c>
      <c r="E24" s="3">
        <v>98.3</v>
      </c>
      <c r="F24" s="3" t="s">
        <v>139</v>
      </c>
      <c r="G24" s="9" t="s">
        <v>85</v>
      </c>
      <c r="H24" s="3" t="s">
        <v>15</v>
      </c>
      <c r="I24" s="3" t="s">
        <v>15</v>
      </c>
      <c r="J24" s="4">
        <v>15</v>
      </c>
      <c r="K24" s="4">
        <v>10</v>
      </c>
      <c r="L24" s="4">
        <v>30</v>
      </c>
      <c r="M24" s="5">
        <f t="shared" si="0"/>
        <v>4500</v>
      </c>
      <c r="N24" s="25">
        <v>20</v>
      </c>
      <c r="O24" s="7">
        <f t="shared" si="1"/>
        <v>90000</v>
      </c>
      <c r="P24" s="7">
        <f t="shared" si="2"/>
        <v>16200</v>
      </c>
      <c r="Q24" s="8">
        <f t="shared" si="3"/>
        <v>106200</v>
      </c>
    </row>
    <row r="25" spans="2:17" ht="16.2" thickBot="1" x14ac:dyDescent="0.35">
      <c r="B25" s="112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4"/>
    </row>
    <row r="26" spans="2:17" ht="15" thickBot="1" x14ac:dyDescent="0.35">
      <c r="B26" s="91" t="s">
        <v>16</v>
      </c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3"/>
    </row>
    <row r="27" spans="2:17" x14ac:dyDescent="0.3">
      <c r="B27" s="94" t="s">
        <v>17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6"/>
    </row>
    <row r="28" spans="2:17" x14ac:dyDescent="0.3">
      <c r="B28" s="69" t="s">
        <v>18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1"/>
    </row>
    <row r="29" spans="2:17" ht="15" thickBot="1" x14ac:dyDescent="0.35">
      <c r="B29" s="72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4"/>
    </row>
  </sheetData>
  <mergeCells count="6">
    <mergeCell ref="B28:Q28"/>
    <mergeCell ref="B29:Q29"/>
    <mergeCell ref="B12:Q12"/>
    <mergeCell ref="B25:Q25"/>
    <mergeCell ref="B26:Q26"/>
    <mergeCell ref="B27:Q27"/>
  </mergeCells>
  <conditionalFormatting sqref="G14:G24">
    <cfRule type="containsBlanks" dxfId="5" priority="1">
      <formula>LEN(TRIM(G14))=0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8B37-DAE1-41BB-BD2B-AE05E7F54910}">
  <dimension ref="B1:P20"/>
  <sheetViews>
    <sheetView zoomScale="75" workbookViewId="0">
      <selection activeCell="B17" sqref="B17:P17"/>
    </sheetView>
  </sheetViews>
  <sheetFormatPr defaultColWidth="8.77734375" defaultRowHeight="14.4" x14ac:dyDescent="0.3"/>
  <cols>
    <col min="3" max="3" width="16.33203125" bestFit="1" customWidth="1"/>
    <col min="4" max="4" width="15" bestFit="1" customWidth="1"/>
    <col min="5" max="5" width="11.6640625" bestFit="1" customWidth="1"/>
    <col min="6" max="6" width="10.6640625" customWidth="1"/>
    <col min="7" max="7" width="17.33203125" bestFit="1" customWidth="1"/>
    <col min="8" max="8" width="17.33203125" customWidth="1"/>
    <col min="9" max="9" width="12.44140625" customWidth="1"/>
    <col min="10" max="10" width="14" customWidth="1"/>
    <col min="11" max="11" width="14.44140625" customWidth="1"/>
    <col min="14" max="14" width="13.6640625" bestFit="1" customWidth="1"/>
    <col min="15" max="15" width="11.77734375" bestFit="1" customWidth="1"/>
    <col min="16" max="16" width="11.44140625" bestFit="1" customWidth="1"/>
    <col min="17" max="17" width="32.77734375" bestFit="1" customWidth="1"/>
  </cols>
  <sheetData>
    <row r="1" spans="2:16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2:16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2:16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2:16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2:16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2:16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spans="2:16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</row>
    <row r="9" spans="2:16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</row>
    <row r="10" spans="2:16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</row>
    <row r="11" spans="2:16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2:16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9"/>
    </row>
    <row r="13" spans="2:16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</v>
      </c>
      <c r="I13" s="64" t="s">
        <v>5</v>
      </c>
      <c r="J13" s="64" t="s">
        <v>6</v>
      </c>
      <c r="K13" s="64" t="s">
        <v>7</v>
      </c>
      <c r="L13" s="64" t="s">
        <v>8</v>
      </c>
      <c r="M13" s="64" t="s">
        <v>9</v>
      </c>
      <c r="N13" s="64" t="s">
        <v>10</v>
      </c>
      <c r="O13" s="64" t="s">
        <v>11</v>
      </c>
      <c r="P13" s="65" t="s">
        <v>12</v>
      </c>
    </row>
    <row r="14" spans="2:16" x14ac:dyDescent="0.3">
      <c r="B14" s="1">
        <v>1</v>
      </c>
      <c r="C14" s="2" t="s">
        <v>13</v>
      </c>
      <c r="D14" s="3" t="s">
        <v>38</v>
      </c>
      <c r="E14" s="12">
        <v>95</v>
      </c>
      <c r="F14" s="3" t="s">
        <v>144</v>
      </c>
      <c r="G14" s="9" t="s">
        <v>84</v>
      </c>
      <c r="H14" s="9">
        <v>1</v>
      </c>
      <c r="I14" s="4">
        <v>15</v>
      </c>
      <c r="J14" s="4">
        <v>10</v>
      </c>
      <c r="K14" s="4">
        <v>30</v>
      </c>
      <c r="L14" s="5">
        <f t="shared" ref="L14:L15" si="0">I14*J14*K14</f>
        <v>4500</v>
      </c>
      <c r="M14" s="6">
        <v>15</v>
      </c>
      <c r="N14" s="7">
        <f>M14*L14</f>
        <v>67500</v>
      </c>
      <c r="O14" s="26">
        <f>N14*18%</f>
        <v>12150</v>
      </c>
      <c r="P14" s="8">
        <f>N14+O14</f>
        <v>79650</v>
      </c>
    </row>
    <row r="15" spans="2:16" x14ac:dyDescent="0.3">
      <c r="B15" s="1">
        <v>2</v>
      </c>
      <c r="C15" s="2" t="s">
        <v>13</v>
      </c>
      <c r="D15" s="3" t="s">
        <v>120</v>
      </c>
      <c r="E15" s="3">
        <v>104.8</v>
      </c>
      <c r="F15" s="3" t="s">
        <v>144</v>
      </c>
      <c r="G15" s="9" t="s">
        <v>84</v>
      </c>
      <c r="H15" s="9">
        <v>2</v>
      </c>
      <c r="I15" s="4">
        <v>15</v>
      </c>
      <c r="J15" s="4">
        <v>10</v>
      </c>
      <c r="K15" s="4">
        <v>30</v>
      </c>
      <c r="L15" s="5">
        <f t="shared" si="0"/>
        <v>4500</v>
      </c>
      <c r="M15" s="6">
        <v>15</v>
      </c>
      <c r="N15" s="7">
        <f t="shared" ref="N15" si="1">M15*L15</f>
        <v>67500</v>
      </c>
      <c r="O15" s="26">
        <f t="shared" ref="O15" si="2">N15*18%</f>
        <v>12150</v>
      </c>
      <c r="P15" s="8">
        <f t="shared" ref="P15" si="3">N15+O15</f>
        <v>79650</v>
      </c>
    </row>
    <row r="16" spans="2:16" ht="16.2" thickBot="1" x14ac:dyDescent="0.35">
      <c r="B16" s="88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90"/>
    </row>
    <row r="17" spans="2:16" ht="15" thickBot="1" x14ac:dyDescent="0.35">
      <c r="B17" s="91" t="s">
        <v>16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3"/>
    </row>
    <row r="18" spans="2:16" x14ac:dyDescent="0.3">
      <c r="B18" s="94" t="s">
        <v>17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6"/>
    </row>
    <row r="19" spans="2:16" x14ac:dyDescent="0.3">
      <c r="B19" s="69" t="s">
        <v>18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1"/>
    </row>
    <row r="20" spans="2:16" ht="15" thickBot="1" x14ac:dyDescent="0.35"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</row>
  </sheetData>
  <mergeCells count="6">
    <mergeCell ref="B19:P19"/>
    <mergeCell ref="B20:P20"/>
    <mergeCell ref="B12:P12"/>
    <mergeCell ref="B16:P16"/>
    <mergeCell ref="B17:P17"/>
    <mergeCell ref="B18:P18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95D5-F1B2-4969-9753-AA92C994DC98}">
  <dimension ref="B1:Q24"/>
  <sheetViews>
    <sheetView zoomScale="87" workbookViewId="0">
      <selection activeCell="A12" sqref="A12:XFD13"/>
    </sheetView>
  </sheetViews>
  <sheetFormatPr defaultColWidth="8.77734375" defaultRowHeight="14.4" x14ac:dyDescent="0.3"/>
  <cols>
    <col min="3" max="3" width="16.33203125" bestFit="1" customWidth="1"/>
    <col min="4" max="4" width="15.21875" customWidth="1"/>
    <col min="5" max="5" width="12.33203125" customWidth="1"/>
    <col min="6" max="6" width="12.44140625" customWidth="1"/>
    <col min="7" max="7" width="13.88671875" customWidth="1"/>
    <col min="8" max="8" width="12.77734375" bestFit="1" customWidth="1"/>
    <col min="9" max="9" width="6.21875" bestFit="1" customWidth="1"/>
    <col min="10" max="10" width="10.5546875" customWidth="1"/>
    <col min="11" max="11" width="11.44140625" customWidth="1"/>
    <col min="12" max="12" width="11.77734375" customWidth="1"/>
    <col min="15" max="15" width="10.6640625" bestFit="1" customWidth="1"/>
    <col min="17" max="17" width="10.664062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23">
        <v>1</v>
      </c>
      <c r="C14" s="2" t="s">
        <v>13</v>
      </c>
      <c r="D14" s="3" t="s">
        <v>27</v>
      </c>
      <c r="E14" s="3">
        <v>91.1</v>
      </c>
      <c r="F14" s="3" t="s">
        <v>129</v>
      </c>
      <c r="G14" s="3" t="s">
        <v>86</v>
      </c>
      <c r="H14" s="9" t="s">
        <v>133</v>
      </c>
      <c r="I14" s="9">
        <v>3</v>
      </c>
      <c r="J14" s="4">
        <v>15</v>
      </c>
      <c r="K14" s="4">
        <v>10</v>
      </c>
      <c r="L14" s="4">
        <v>30</v>
      </c>
      <c r="M14" s="5">
        <f t="shared" ref="M14:M19" si="0">J14*K14*L14</f>
        <v>4500</v>
      </c>
      <c r="N14" s="25">
        <v>10</v>
      </c>
      <c r="O14" s="7">
        <f>N14*M14</f>
        <v>45000</v>
      </c>
      <c r="P14" s="7">
        <f>O14*18%</f>
        <v>8100</v>
      </c>
      <c r="Q14" s="8">
        <f>O14+P14</f>
        <v>53100</v>
      </c>
    </row>
    <row r="15" spans="2:17" x14ac:dyDescent="0.3">
      <c r="B15" s="23">
        <v>2</v>
      </c>
      <c r="C15" s="2" t="s">
        <v>13</v>
      </c>
      <c r="D15" s="3" t="s">
        <v>46</v>
      </c>
      <c r="E15" s="3">
        <v>92.7</v>
      </c>
      <c r="F15" s="3" t="s">
        <v>129</v>
      </c>
      <c r="G15" s="3" t="s">
        <v>86</v>
      </c>
      <c r="H15" s="9" t="s">
        <v>131</v>
      </c>
      <c r="I15" s="9">
        <v>1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25">
        <v>10</v>
      </c>
      <c r="O15" s="7">
        <f t="shared" ref="O15:O19" si="1">N15*M15</f>
        <v>45000</v>
      </c>
      <c r="P15" s="7">
        <f t="shared" ref="P15:P19" si="2">O15*18%</f>
        <v>8100</v>
      </c>
      <c r="Q15" s="8">
        <f t="shared" ref="Q15:Q19" si="3">O15+P15</f>
        <v>53100</v>
      </c>
    </row>
    <row r="16" spans="2:17" x14ac:dyDescent="0.3">
      <c r="B16" s="23">
        <v>3</v>
      </c>
      <c r="C16" s="2" t="s">
        <v>13</v>
      </c>
      <c r="D16" s="3" t="s">
        <v>47</v>
      </c>
      <c r="E16" s="3">
        <v>93.5</v>
      </c>
      <c r="F16" s="3" t="s">
        <v>129</v>
      </c>
      <c r="G16" s="3" t="s">
        <v>86</v>
      </c>
      <c r="H16" s="9" t="s">
        <v>132</v>
      </c>
      <c r="I16" s="9">
        <v>2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25">
        <v>12</v>
      </c>
      <c r="O16" s="7">
        <f t="shared" si="1"/>
        <v>54000</v>
      </c>
      <c r="P16" s="7">
        <f t="shared" si="2"/>
        <v>9720</v>
      </c>
      <c r="Q16" s="8">
        <f t="shared" si="3"/>
        <v>63720</v>
      </c>
    </row>
    <row r="17" spans="2:17" x14ac:dyDescent="0.3">
      <c r="B17" s="23">
        <v>4</v>
      </c>
      <c r="C17" s="2" t="s">
        <v>13</v>
      </c>
      <c r="D17" s="9" t="s">
        <v>409</v>
      </c>
      <c r="E17" s="3">
        <v>89.6</v>
      </c>
      <c r="F17" s="3" t="s">
        <v>129</v>
      </c>
      <c r="G17" s="3" t="s">
        <v>86</v>
      </c>
      <c r="H17" s="9" t="s">
        <v>410</v>
      </c>
      <c r="I17" s="9" t="s">
        <v>410</v>
      </c>
      <c r="J17" s="4">
        <v>15</v>
      </c>
      <c r="K17" s="4">
        <v>10</v>
      </c>
      <c r="L17" s="4">
        <v>30</v>
      </c>
      <c r="M17" s="5">
        <f t="shared" ref="M17" si="4">J17*K17*L17</f>
        <v>4500</v>
      </c>
      <c r="N17" s="25">
        <v>10</v>
      </c>
      <c r="O17" s="7">
        <f t="shared" ref="O17" si="5">N17*M17</f>
        <v>45000</v>
      </c>
      <c r="P17" s="7">
        <f t="shared" ref="P17" si="6">O17*18%</f>
        <v>8100</v>
      </c>
      <c r="Q17" s="8">
        <f t="shared" ref="Q17" si="7">O17+P17</f>
        <v>53100</v>
      </c>
    </row>
    <row r="18" spans="2:17" x14ac:dyDescent="0.3">
      <c r="B18" s="23">
        <v>5</v>
      </c>
      <c r="C18" s="2" t="s">
        <v>13</v>
      </c>
      <c r="D18" s="3" t="s">
        <v>27</v>
      </c>
      <c r="E18" s="3">
        <v>91.9</v>
      </c>
      <c r="F18" s="3" t="s">
        <v>130</v>
      </c>
      <c r="G18" s="3" t="s">
        <v>86</v>
      </c>
      <c r="H18" s="3" t="s">
        <v>113</v>
      </c>
      <c r="I18" s="3">
        <v>2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25">
        <v>9</v>
      </c>
      <c r="O18" s="7">
        <f t="shared" si="1"/>
        <v>40500</v>
      </c>
      <c r="P18" s="7">
        <f t="shared" si="2"/>
        <v>7290</v>
      </c>
      <c r="Q18" s="8">
        <f t="shared" si="3"/>
        <v>47790</v>
      </c>
    </row>
    <row r="19" spans="2:17" x14ac:dyDescent="0.3">
      <c r="B19" s="23">
        <v>6</v>
      </c>
      <c r="C19" s="2" t="s">
        <v>13</v>
      </c>
      <c r="D19" s="3" t="s">
        <v>46</v>
      </c>
      <c r="E19" s="3">
        <v>92.7</v>
      </c>
      <c r="F19" s="3" t="s">
        <v>130</v>
      </c>
      <c r="G19" s="3" t="s">
        <v>86</v>
      </c>
      <c r="H19" s="3" t="s">
        <v>134</v>
      </c>
      <c r="I19" s="3">
        <v>1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25">
        <v>8</v>
      </c>
      <c r="O19" s="7">
        <f t="shared" si="1"/>
        <v>36000</v>
      </c>
      <c r="P19" s="7">
        <f t="shared" si="2"/>
        <v>6480</v>
      </c>
      <c r="Q19" s="8">
        <f t="shared" si="3"/>
        <v>42480</v>
      </c>
    </row>
    <row r="20" spans="2:17" ht="16.2" thickBot="1" x14ac:dyDescent="0.35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</row>
    <row r="21" spans="2:17" ht="15" thickBot="1" x14ac:dyDescent="0.35">
      <c r="B21" s="91" t="s">
        <v>16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3"/>
    </row>
    <row r="22" spans="2:17" x14ac:dyDescent="0.3">
      <c r="B22" s="94" t="s">
        <v>17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6"/>
    </row>
    <row r="23" spans="2:17" x14ac:dyDescent="0.3">
      <c r="B23" s="69" t="s">
        <v>18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1"/>
    </row>
    <row r="24" spans="2:17" ht="15" thickBot="1" x14ac:dyDescent="0.35"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4"/>
    </row>
  </sheetData>
  <mergeCells count="6">
    <mergeCell ref="B23:Q23"/>
    <mergeCell ref="B24:Q24"/>
    <mergeCell ref="B12:Q12"/>
    <mergeCell ref="B20:Q20"/>
    <mergeCell ref="B21:Q21"/>
    <mergeCell ref="B22:Q22"/>
  </mergeCells>
  <conditionalFormatting sqref="G14:I16 G18:I19 G17">
    <cfRule type="containsBlanks" dxfId="4" priority="1">
      <formula>LEN(TRIM(G14))=0</formula>
    </cfRule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5405-403A-42BE-BB86-5602CE3C605A}">
  <dimension ref="B1:Q25"/>
  <sheetViews>
    <sheetView zoomScale="71" workbookViewId="0">
      <selection activeCell="A12" sqref="A12:XFD13"/>
    </sheetView>
  </sheetViews>
  <sheetFormatPr defaultColWidth="8.77734375" defaultRowHeight="14.4" x14ac:dyDescent="0.3"/>
  <cols>
    <col min="3" max="3" width="16.33203125" bestFit="1" customWidth="1"/>
    <col min="4" max="4" width="19.44140625" bestFit="1" customWidth="1"/>
    <col min="5" max="5" width="16.33203125" bestFit="1" customWidth="1"/>
    <col min="6" max="6" width="9.77734375" bestFit="1" customWidth="1"/>
    <col min="7" max="7" width="16.77734375" bestFit="1" customWidth="1"/>
    <col min="8" max="8" width="16.77734375" customWidth="1"/>
    <col min="9" max="9" width="6.44140625" bestFit="1" customWidth="1"/>
    <col min="10" max="11" width="11.44140625" customWidth="1"/>
    <col min="12" max="12" width="11.77734375" customWidth="1"/>
    <col min="15" max="15" width="10.6640625" bestFit="1" customWidth="1"/>
    <col min="17" max="17" width="10.664062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23">
        <v>1</v>
      </c>
      <c r="C14" s="2" t="s">
        <v>13</v>
      </c>
      <c r="D14" s="3" t="s">
        <v>52</v>
      </c>
      <c r="E14" s="3">
        <v>91.1</v>
      </c>
      <c r="F14" s="3" t="s">
        <v>121</v>
      </c>
      <c r="G14" s="9" t="s">
        <v>87</v>
      </c>
      <c r="H14" s="3" t="s">
        <v>15</v>
      </c>
      <c r="I14" s="3" t="s">
        <v>15</v>
      </c>
      <c r="J14" s="4">
        <v>15</v>
      </c>
      <c r="K14" s="4">
        <v>10</v>
      </c>
      <c r="L14" s="4">
        <v>30</v>
      </c>
      <c r="M14" s="5">
        <f t="shared" ref="M14:M20" si="0">J14*K14*L14</f>
        <v>4500</v>
      </c>
      <c r="N14" s="25">
        <v>8</v>
      </c>
      <c r="O14" s="7">
        <f>N14*M14</f>
        <v>36000</v>
      </c>
      <c r="P14" s="7">
        <f>O14*18%</f>
        <v>6480</v>
      </c>
      <c r="Q14" s="8">
        <f>O14+P14</f>
        <v>42480</v>
      </c>
    </row>
    <row r="15" spans="2:17" x14ac:dyDescent="0.3">
      <c r="B15" s="23">
        <v>2</v>
      </c>
      <c r="C15" s="2" t="s">
        <v>13</v>
      </c>
      <c r="D15" s="3" t="s">
        <v>125</v>
      </c>
      <c r="E15" s="3">
        <v>91.9</v>
      </c>
      <c r="F15" s="3" t="s">
        <v>121</v>
      </c>
      <c r="G15" s="9" t="s">
        <v>87</v>
      </c>
      <c r="H15" s="3" t="s">
        <v>15</v>
      </c>
      <c r="I15" s="3" t="s">
        <v>15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25">
        <v>10</v>
      </c>
      <c r="O15" s="7">
        <f t="shared" ref="O15:O20" si="1">N15*M15</f>
        <v>45000</v>
      </c>
      <c r="P15" s="7">
        <f t="shared" ref="P15:P20" si="2">O15*18%</f>
        <v>8100</v>
      </c>
      <c r="Q15" s="8">
        <f t="shared" ref="Q15:Q20" si="3">O15+P15</f>
        <v>53100</v>
      </c>
    </row>
    <row r="16" spans="2:17" x14ac:dyDescent="0.3">
      <c r="B16" s="23">
        <v>3</v>
      </c>
      <c r="C16" s="2" t="s">
        <v>13</v>
      </c>
      <c r="D16" s="3" t="s">
        <v>124</v>
      </c>
      <c r="E16" s="3">
        <v>94.3</v>
      </c>
      <c r="F16" s="3" t="s">
        <v>121</v>
      </c>
      <c r="G16" s="9" t="s">
        <v>87</v>
      </c>
      <c r="H16" s="3" t="s">
        <v>15</v>
      </c>
      <c r="I16" s="3" t="s">
        <v>15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25">
        <v>12</v>
      </c>
      <c r="O16" s="7">
        <f t="shared" si="1"/>
        <v>54000</v>
      </c>
      <c r="P16" s="7">
        <f t="shared" si="2"/>
        <v>9720</v>
      </c>
      <c r="Q16" s="8">
        <f t="shared" si="3"/>
        <v>63720</v>
      </c>
    </row>
    <row r="17" spans="2:17" x14ac:dyDescent="0.3">
      <c r="B17" s="23">
        <v>4</v>
      </c>
      <c r="C17" s="2" t="s">
        <v>13</v>
      </c>
      <c r="D17" s="3" t="s">
        <v>41</v>
      </c>
      <c r="E17" s="3">
        <v>91.1</v>
      </c>
      <c r="F17" s="3" t="s">
        <v>122</v>
      </c>
      <c r="G17" s="9" t="s">
        <v>87</v>
      </c>
      <c r="H17" s="3" t="s">
        <v>15</v>
      </c>
      <c r="I17" s="3" t="s">
        <v>15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25">
        <v>15</v>
      </c>
      <c r="O17" s="7">
        <f t="shared" si="1"/>
        <v>67500</v>
      </c>
      <c r="P17" s="7">
        <f t="shared" si="2"/>
        <v>12150</v>
      </c>
      <c r="Q17" s="8">
        <f t="shared" si="3"/>
        <v>79650</v>
      </c>
    </row>
    <row r="18" spans="2:17" x14ac:dyDescent="0.3">
      <c r="B18" s="23">
        <v>5</v>
      </c>
      <c r="C18" s="2" t="s">
        <v>13</v>
      </c>
      <c r="D18" s="3" t="s">
        <v>124</v>
      </c>
      <c r="E18" s="3">
        <v>94.3</v>
      </c>
      <c r="F18" s="3" t="s">
        <v>123</v>
      </c>
      <c r="G18" s="9" t="s">
        <v>87</v>
      </c>
      <c r="H18" s="3" t="s">
        <v>126</v>
      </c>
      <c r="I18" s="3">
        <v>1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25">
        <v>15</v>
      </c>
      <c r="O18" s="7">
        <f t="shared" si="1"/>
        <v>67500</v>
      </c>
      <c r="P18" s="7">
        <f t="shared" si="2"/>
        <v>12150</v>
      </c>
      <c r="Q18" s="8">
        <f t="shared" si="3"/>
        <v>79650</v>
      </c>
    </row>
    <row r="19" spans="2:17" x14ac:dyDescent="0.3">
      <c r="B19" s="23">
        <v>6</v>
      </c>
      <c r="C19" s="2" t="s">
        <v>13</v>
      </c>
      <c r="D19" s="3" t="s">
        <v>52</v>
      </c>
      <c r="E19" s="12">
        <v>95</v>
      </c>
      <c r="F19" s="3" t="s">
        <v>123</v>
      </c>
      <c r="G19" s="9" t="s">
        <v>87</v>
      </c>
      <c r="H19" s="3" t="s">
        <v>127</v>
      </c>
      <c r="I19" s="3">
        <v>3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25">
        <v>12</v>
      </c>
      <c r="O19" s="7">
        <f t="shared" si="1"/>
        <v>54000</v>
      </c>
      <c r="P19" s="7">
        <f t="shared" si="2"/>
        <v>9720</v>
      </c>
      <c r="Q19" s="8">
        <f t="shared" si="3"/>
        <v>63720</v>
      </c>
    </row>
    <row r="20" spans="2:17" x14ac:dyDescent="0.3">
      <c r="B20" s="23">
        <v>7</v>
      </c>
      <c r="C20" s="2" t="s">
        <v>13</v>
      </c>
      <c r="D20" s="3" t="s">
        <v>41</v>
      </c>
      <c r="E20" s="3">
        <v>98.3</v>
      </c>
      <c r="F20" s="3" t="s">
        <v>123</v>
      </c>
      <c r="G20" s="9" t="s">
        <v>87</v>
      </c>
      <c r="H20" s="3" t="s">
        <v>128</v>
      </c>
      <c r="I20" s="3">
        <v>2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25">
        <v>15</v>
      </c>
      <c r="O20" s="7">
        <f t="shared" si="1"/>
        <v>67500</v>
      </c>
      <c r="P20" s="7">
        <f t="shared" si="2"/>
        <v>12150</v>
      </c>
      <c r="Q20" s="8">
        <f t="shared" si="3"/>
        <v>79650</v>
      </c>
    </row>
    <row r="21" spans="2:17" ht="16.2" thickBot="1" x14ac:dyDescent="0.35">
      <c r="B21" s="106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8"/>
    </row>
    <row r="22" spans="2:17" ht="15" thickBot="1" x14ac:dyDescent="0.35">
      <c r="B22" s="91" t="s">
        <v>16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3"/>
    </row>
    <row r="23" spans="2:17" x14ac:dyDescent="0.3">
      <c r="B23" s="94" t="s">
        <v>17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6"/>
    </row>
    <row r="24" spans="2:17" x14ac:dyDescent="0.3">
      <c r="B24" s="69" t="s">
        <v>18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1"/>
    </row>
    <row r="25" spans="2:17" ht="15" thickBot="1" x14ac:dyDescent="0.35">
      <c r="B25" s="72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4"/>
    </row>
  </sheetData>
  <mergeCells count="6">
    <mergeCell ref="B24:Q24"/>
    <mergeCell ref="B25:Q25"/>
    <mergeCell ref="B12:Q12"/>
    <mergeCell ref="B21:Q21"/>
    <mergeCell ref="B22:Q22"/>
    <mergeCell ref="B23:Q23"/>
  </mergeCells>
  <conditionalFormatting sqref="G14:G20">
    <cfRule type="containsBlanks" dxfId="3" priority="1">
      <formula>LEN(TRIM(G14))=0</formula>
    </cfRule>
  </conditionalFormatting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93E9-9A40-4D72-8AA8-A8779C24EF9B}">
  <dimension ref="B1:Q32"/>
  <sheetViews>
    <sheetView topLeftCell="A4" zoomScaleNormal="100" workbookViewId="0">
      <selection activeCell="A20" sqref="A20:XFD23"/>
    </sheetView>
  </sheetViews>
  <sheetFormatPr defaultColWidth="8.77734375" defaultRowHeight="14.4" x14ac:dyDescent="0.3"/>
  <cols>
    <col min="3" max="3" width="16.33203125" bestFit="1" customWidth="1"/>
    <col min="4" max="4" width="23.6640625" customWidth="1"/>
    <col min="5" max="5" width="11.6640625" customWidth="1"/>
    <col min="6" max="6" width="13.6640625" customWidth="1"/>
    <col min="7" max="7" width="20.77734375" customWidth="1"/>
    <col min="8" max="9" width="16.77734375" customWidth="1"/>
    <col min="10" max="11" width="11.44140625" customWidth="1"/>
    <col min="12" max="12" width="11.77734375" customWidth="1"/>
    <col min="15" max="15" width="10.6640625" bestFit="1" customWidth="1"/>
    <col min="17" max="17" width="10.664062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23">
        <v>1</v>
      </c>
      <c r="C14" s="2" t="s">
        <v>13</v>
      </c>
      <c r="D14" s="9" t="s">
        <v>38</v>
      </c>
      <c r="E14" s="9">
        <v>92.7</v>
      </c>
      <c r="F14" s="9" t="s">
        <v>114</v>
      </c>
      <c r="G14" s="9" t="s">
        <v>88</v>
      </c>
      <c r="H14" s="3" t="s">
        <v>102</v>
      </c>
      <c r="I14" s="3">
        <v>3</v>
      </c>
      <c r="J14" s="4">
        <v>15</v>
      </c>
      <c r="K14" s="4">
        <v>10</v>
      </c>
      <c r="L14" s="4">
        <v>30</v>
      </c>
      <c r="M14" s="5">
        <f t="shared" ref="M14:M27" si="0">J14*K14*L14</f>
        <v>4500</v>
      </c>
      <c r="N14" s="25">
        <v>10</v>
      </c>
      <c r="O14" s="7">
        <f>N14*M14</f>
        <v>45000</v>
      </c>
      <c r="P14" s="7">
        <f>O14*18%</f>
        <v>8100</v>
      </c>
      <c r="Q14" s="8">
        <f>O14+P14</f>
        <v>53100</v>
      </c>
    </row>
    <row r="15" spans="2:17" x14ac:dyDescent="0.3">
      <c r="B15" s="23">
        <v>2</v>
      </c>
      <c r="C15" s="2" t="s">
        <v>13</v>
      </c>
      <c r="D15" s="3" t="s">
        <v>42</v>
      </c>
      <c r="E15" s="3">
        <v>93.5</v>
      </c>
      <c r="F15" s="9" t="s">
        <v>114</v>
      </c>
      <c r="G15" s="9" t="s">
        <v>88</v>
      </c>
      <c r="H15" s="3" t="s">
        <v>100</v>
      </c>
      <c r="I15" s="3">
        <v>4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25">
        <v>13</v>
      </c>
      <c r="O15" s="7">
        <f t="shared" ref="O15:O27" si="1">N15*M15</f>
        <v>58500</v>
      </c>
      <c r="P15" s="7">
        <f t="shared" ref="P15:P27" si="2">O15*18%</f>
        <v>10530</v>
      </c>
      <c r="Q15" s="8">
        <f t="shared" ref="Q15:Q27" si="3">O15+P15</f>
        <v>69030</v>
      </c>
    </row>
    <row r="16" spans="2:17" x14ac:dyDescent="0.3">
      <c r="B16" s="23">
        <v>3</v>
      </c>
      <c r="C16" s="2" t="s">
        <v>13</v>
      </c>
      <c r="D16" s="3" t="s">
        <v>118</v>
      </c>
      <c r="E16" s="3">
        <v>94.3</v>
      </c>
      <c r="F16" s="9" t="s">
        <v>114</v>
      </c>
      <c r="G16" s="9" t="s">
        <v>88</v>
      </c>
      <c r="H16" s="3" t="s">
        <v>103</v>
      </c>
      <c r="I16" s="3">
        <v>2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25">
        <v>12</v>
      </c>
      <c r="O16" s="7">
        <f t="shared" si="1"/>
        <v>54000</v>
      </c>
      <c r="P16" s="7">
        <f t="shared" si="2"/>
        <v>9720</v>
      </c>
      <c r="Q16" s="8">
        <f t="shared" si="3"/>
        <v>63720</v>
      </c>
    </row>
    <row r="17" spans="2:17" x14ac:dyDescent="0.3">
      <c r="B17" s="23">
        <v>4</v>
      </c>
      <c r="C17" s="2" t="s">
        <v>13</v>
      </c>
      <c r="D17" s="3" t="s">
        <v>120</v>
      </c>
      <c r="E17" s="3">
        <v>98.3</v>
      </c>
      <c r="F17" s="9" t="s">
        <v>114</v>
      </c>
      <c r="G17" s="9" t="s">
        <v>88</v>
      </c>
      <c r="H17" s="3" t="s">
        <v>101</v>
      </c>
      <c r="I17" s="3">
        <v>1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25">
        <v>16</v>
      </c>
      <c r="O17" s="7">
        <f t="shared" si="1"/>
        <v>72000</v>
      </c>
      <c r="P17" s="7">
        <f t="shared" si="2"/>
        <v>12960</v>
      </c>
      <c r="Q17" s="8">
        <f t="shared" si="3"/>
        <v>84960</v>
      </c>
    </row>
    <row r="18" spans="2:17" x14ac:dyDescent="0.3">
      <c r="B18" s="23">
        <v>5</v>
      </c>
      <c r="C18" s="2" t="s">
        <v>13</v>
      </c>
      <c r="D18" s="9" t="s">
        <v>38</v>
      </c>
      <c r="E18" s="9">
        <v>92.7</v>
      </c>
      <c r="F18" s="3" t="s">
        <v>115</v>
      </c>
      <c r="G18" s="9" t="s">
        <v>88</v>
      </c>
      <c r="H18" s="3" t="s">
        <v>104</v>
      </c>
      <c r="I18" s="3">
        <v>1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25">
        <v>10</v>
      </c>
      <c r="O18" s="7">
        <f t="shared" si="1"/>
        <v>45000</v>
      </c>
      <c r="P18" s="7">
        <f t="shared" si="2"/>
        <v>8100</v>
      </c>
      <c r="Q18" s="8">
        <f t="shared" si="3"/>
        <v>53100</v>
      </c>
    </row>
    <row r="19" spans="2:17" x14ac:dyDescent="0.3">
      <c r="B19" s="23">
        <v>6</v>
      </c>
      <c r="C19" s="2" t="s">
        <v>13</v>
      </c>
      <c r="D19" s="3" t="s">
        <v>118</v>
      </c>
      <c r="E19" s="3">
        <v>94.3</v>
      </c>
      <c r="F19" s="3" t="s">
        <v>115</v>
      </c>
      <c r="G19" s="9" t="s">
        <v>88</v>
      </c>
      <c r="H19" s="3" t="s">
        <v>105</v>
      </c>
      <c r="I19" s="3">
        <v>2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25">
        <v>8</v>
      </c>
      <c r="O19" s="7">
        <f t="shared" si="1"/>
        <v>36000</v>
      </c>
      <c r="P19" s="7">
        <f t="shared" si="2"/>
        <v>6480</v>
      </c>
      <c r="Q19" s="8">
        <f t="shared" si="3"/>
        <v>42480</v>
      </c>
    </row>
    <row r="20" spans="2:17" x14ac:dyDescent="0.3">
      <c r="B20" s="23">
        <v>7</v>
      </c>
      <c r="C20" s="2" t="s">
        <v>13</v>
      </c>
      <c r="D20" s="9" t="s">
        <v>38</v>
      </c>
      <c r="E20" s="9">
        <v>92.7</v>
      </c>
      <c r="F20" s="3" t="s">
        <v>116</v>
      </c>
      <c r="G20" s="9" t="s">
        <v>88</v>
      </c>
      <c r="H20" s="3" t="s">
        <v>106</v>
      </c>
      <c r="I20" s="3">
        <v>4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25">
        <v>11</v>
      </c>
      <c r="O20" s="7">
        <f t="shared" si="1"/>
        <v>49500</v>
      </c>
      <c r="P20" s="7">
        <f t="shared" si="2"/>
        <v>8910</v>
      </c>
      <c r="Q20" s="8">
        <f t="shared" si="3"/>
        <v>58410</v>
      </c>
    </row>
    <row r="21" spans="2:17" x14ac:dyDescent="0.3">
      <c r="B21" s="23">
        <v>8</v>
      </c>
      <c r="C21" s="2" t="s">
        <v>13</v>
      </c>
      <c r="D21" s="3" t="s">
        <v>42</v>
      </c>
      <c r="E21" s="3">
        <v>93.5</v>
      </c>
      <c r="F21" s="3" t="s">
        <v>116</v>
      </c>
      <c r="G21" s="9" t="s">
        <v>88</v>
      </c>
      <c r="H21" s="3" t="s">
        <v>107</v>
      </c>
      <c r="I21" s="3">
        <v>3</v>
      </c>
      <c r="J21" s="4">
        <v>15</v>
      </c>
      <c r="K21" s="4">
        <v>10</v>
      </c>
      <c r="L21" s="4">
        <v>30</v>
      </c>
      <c r="M21" s="5">
        <f t="shared" si="0"/>
        <v>4500</v>
      </c>
      <c r="N21" s="25">
        <v>15</v>
      </c>
      <c r="O21" s="7">
        <f t="shared" si="1"/>
        <v>67500</v>
      </c>
      <c r="P21" s="7">
        <f t="shared" si="2"/>
        <v>12150</v>
      </c>
      <c r="Q21" s="8">
        <f t="shared" si="3"/>
        <v>79650</v>
      </c>
    </row>
    <row r="22" spans="2:17" x14ac:dyDescent="0.3">
      <c r="B22" s="23">
        <v>9</v>
      </c>
      <c r="C22" s="2" t="s">
        <v>13</v>
      </c>
      <c r="D22" s="3" t="s">
        <v>118</v>
      </c>
      <c r="E22" s="3">
        <v>94.3</v>
      </c>
      <c r="F22" s="3" t="s">
        <v>116</v>
      </c>
      <c r="G22" s="9" t="s">
        <v>88</v>
      </c>
      <c r="H22" s="3" t="s">
        <v>108</v>
      </c>
      <c r="I22" s="3">
        <v>2</v>
      </c>
      <c r="J22" s="4">
        <v>15</v>
      </c>
      <c r="K22" s="4">
        <v>10</v>
      </c>
      <c r="L22" s="4">
        <v>30</v>
      </c>
      <c r="M22" s="5">
        <f t="shared" si="0"/>
        <v>4500</v>
      </c>
      <c r="N22" s="25">
        <v>16</v>
      </c>
      <c r="O22" s="7">
        <f t="shared" si="1"/>
        <v>72000</v>
      </c>
      <c r="P22" s="7">
        <f t="shared" si="2"/>
        <v>12960</v>
      </c>
      <c r="Q22" s="8">
        <f t="shared" si="3"/>
        <v>84960</v>
      </c>
    </row>
    <row r="23" spans="2:17" x14ac:dyDescent="0.3">
      <c r="B23" s="23">
        <v>10</v>
      </c>
      <c r="C23" s="2" t="s">
        <v>13</v>
      </c>
      <c r="D23" s="3" t="s">
        <v>120</v>
      </c>
      <c r="E23" s="3">
        <v>98.3</v>
      </c>
      <c r="F23" s="3" t="s">
        <v>116</v>
      </c>
      <c r="G23" s="9" t="s">
        <v>88</v>
      </c>
      <c r="H23" s="3" t="s">
        <v>109</v>
      </c>
      <c r="I23" s="3">
        <v>1</v>
      </c>
      <c r="J23" s="4">
        <v>15</v>
      </c>
      <c r="K23" s="4">
        <v>10</v>
      </c>
      <c r="L23" s="4">
        <v>30</v>
      </c>
      <c r="M23" s="5">
        <f t="shared" si="0"/>
        <v>4500</v>
      </c>
      <c r="N23" s="25">
        <v>15</v>
      </c>
      <c r="O23" s="7">
        <f t="shared" si="1"/>
        <v>67500</v>
      </c>
      <c r="P23" s="7">
        <f t="shared" si="2"/>
        <v>12150</v>
      </c>
      <c r="Q23" s="8">
        <f t="shared" si="3"/>
        <v>79650</v>
      </c>
    </row>
    <row r="24" spans="2:17" x14ac:dyDescent="0.3">
      <c r="B24" s="23">
        <v>11</v>
      </c>
      <c r="C24" s="2" t="s">
        <v>13</v>
      </c>
      <c r="D24" s="3" t="s">
        <v>42</v>
      </c>
      <c r="E24" s="3">
        <v>93.5</v>
      </c>
      <c r="F24" s="3" t="s">
        <v>117</v>
      </c>
      <c r="G24" s="9" t="s">
        <v>88</v>
      </c>
      <c r="H24" s="3" t="s">
        <v>110</v>
      </c>
      <c r="I24" s="3">
        <v>2</v>
      </c>
      <c r="J24" s="4">
        <v>15</v>
      </c>
      <c r="K24" s="4">
        <v>10</v>
      </c>
      <c r="L24" s="4">
        <v>30</v>
      </c>
      <c r="M24" s="5">
        <f t="shared" si="0"/>
        <v>4500</v>
      </c>
      <c r="N24" s="25">
        <v>10</v>
      </c>
      <c r="O24" s="7">
        <f t="shared" si="1"/>
        <v>45000</v>
      </c>
      <c r="P24" s="7">
        <f t="shared" si="2"/>
        <v>8100</v>
      </c>
      <c r="Q24" s="8">
        <f t="shared" si="3"/>
        <v>53100</v>
      </c>
    </row>
    <row r="25" spans="2:17" x14ac:dyDescent="0.3">
      <c r="B25" s="23">
        <v>12</v>
      </c>
      <c r="C25" s="2" t="s">
        <v>13</v>
      </c>
      <c r="D25" s="3" t="s">
        <v>118</v>
      </c>
      <c r="E25" s="3">
        <v>94.3</v>
      </c>
      <c r="F25" s="3" t="s">
        <v>117</v>
      </c>
      <c r="G25" s="9" t="s">
        <v>88</v>
      </c>
      <c r="H25" s="3" t="s">
        <v>111</v>
      </c>
      <c r="I25" s="3">
        <v>3</v>
      </c>
      <c r="J25" s="4">
        <v>15</v>
      </c>
      <c r="K25" s="4">
        <v>10</v>
      </c>
      <c r="L25" s="4">
        <v>30</v>
      </c>
      <c r="M25" s="5">
        <f t="shared" si="0"/>
        <v>4500</v>
      </c>
      <c r="N25" s="25">
        <v>10</v>
      </c>
      <c r="O25" s="7">
        <f t="shared" si="1"/>
        <v>45000</v>
      </c>
      <c r="P25" s="7">
        <f t="shared" si="2"/>
        <v>8100</v>
      </c>
      <c r="Q25" s="8">
        <f t="shared" si="3"/>
        <v>53100</v>
      </c>
    </row>
    <row r="26" spans="2:17" x14ac:dyDescent="0.3">
      <c r="B26" s="23">
        <v>13</v>
      </c>
      <c r="C26" s="2" t="s">
        <v>13</v>
      </c>
      <c r="D26" s="3" t="s">
        <v>120</v>
      </c>
      <c r="E26" s="3">
        <v>98.3</v>
      </c>
      <c r="F26" s="3" t="s">
        <v>117</v>
      </c>
      <c r="G26" s="9" t="s">
        <v>88</v>
      </c>
      <c r="H26" s="3" t="s">
        <v>112</v>
      </c>
      <c r="I26" s="3">
        <v>1</v>
      </c>
      <c r="J26" s="4">
        <v>15</v>
      </c>
      <c r="K26" s="4">
        <v>10</v>
      </c>
      <c r="L26" s="4">
        <v>30</v>
      </c>
      <c r="M26" s="5">
        <f t="shared" si="0"/>
        <v>4500</v>
      </c>
      <c r="N26" s="25">
        <v>15</v>
      </c>
      <c r="O26" s="7">
        <f t="shared" si="1"/>
        <v>67500</v>
      </c>
      <c r="P26" s="7">
        <f t="shared" si="2"/>
        <v>12150</v>
      </c>
      <c r="Q26" s="8">
        <f t="shared" si="3"/>
        <v>79650</v>
      </c>
    </row>
    <row r="27" spans="2:17" x14ac:dyDescent="0.3">
      <c r="B27" s="23">
        <v>14</v>
      </c>
      <c r="C27" s="2" t="s">
        <v>13</v>
      </c>
      <c r="D27" s="3" t="s">
        <v>119</v>
      </c>
      <c r="E27" s="3">
        <v>106.4</v>
      </c>
      <c r="F27" s="3" t="s">
        <v>117</v>
      </c>
      <c r="G27" s="9" t="s">
        <v>88</v>
      </c>
      <c r="H27" s="3" t="s">
        <v>113</v>
      </c>
      <c r="I27" s="3">
        <v>4</v>
      </c>
      <c r="J27" s="4">
        <v>15</v>
      </c>
      <c r="K27" s="4">
        <v>10</v>
      </c>
      <c r="L27" s="4">
        <v>30</v>
      </c>
      <c r="M27" s="5">
        <f t="shared" si="0"/>
        <v>4500</v>
      </c>
      <c r="N27" s="25">
        <v>8</v>
      </c>
      <c r="O27" s="7">
        <f t="shared" si="1"/>
        <v>36000</v>
      </c>
      <c r="P27" s="7">
        <f t="shared" si="2"/>
        <v>6480</v>
      </c>
      <c r="Q27" s="8">
        <f t="shared" si="3"/>
        <v>42480</v>
      </c>
    </row>
    <row r="28" spans="2:17" ht="16.2" thickBot="1" x14ac:dyDescent="0.35">
      <c r="B28" s="112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4"/>
    </row>
    <row r="29" spans="2:17" ht="15" thickBot="1" x14ac:dyDescent="0.35">
      <c r="B29" s="115" t="s">
        <v>16</v>
      </c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7"/>
    </row>
    <row r="30" spans="2:17" x14ac:dyDescent="0.3">
      <c r="B30" s="94" t="s">
        <v>17</v>
      </c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6"/>
    </row>
    <row r="31" spans="2:17" x14ac:dyDescent="0.3">
      <c r="B31" s="69" t="s">
        <v>18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1"/>
    </row>
    <row r="32" spans="2:17" ht="15" thickBot="1" x14ac:dyDescent="0.35">
      <c r="B32" s="7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4"/>
    </row>
  </sheetData>
  <mergeCells count="6">
    <mergeCell ref="B31:Q31"/>
    <mergeCell ref="B32:Q32"/>
    <mergeCell ref="B12:Q12"/>
    <mergeCell ref="B28:Q28"/>
    <mergeCell ref="B29:Q29"/>
    <mergeCell ref="B30:Q30"/>
  </mergeCells>
  <conditionalFormatting sqref="G14:G27">
    <cfRule type="containsBlanks" dxfId="2" priority="1">
      <formula>LEN(TRIM(G14))=0</formula>
    </cfRule>
  </conditionalFormatting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CBD8-4A57-4A07-93A9-DBB4A264EF74}">
  <dimension ref="B1:P20"/>
  <sheetViews>
    <sheetView workbookViewId="0">
      <selection activeCell="H7" sqref="H7"/>
    </sheetView>
  </sheetViews>
  <sheetFormatPr defaultColWidth="8.77734375" defaultRowHeight="14.4" x14ac:dyDescent="0.3"/>
  <cols>
    <col min="3" max="3" width="16.33203125" bestFit="1" customWidth="1"/>
    <col min="4" max="4" width="15" bestFit="1" customWidth="1"/>
    <col min="5" max="5" width="11.6640625" bestFit="1" customWidth="1"/>
    <col min="6" max="6" width="10.44140625" customWidth="1"/>
    <col min="7" max="7" width="16.77734375" bestFit="1" customWidth="1"/>
    <col min="8" max="8" width="11.109375" customWidth="1"/>
    <col min="9" max="10" width="11.44140625" customWidth="1"/>
    <col min="11" max="11" width="11.77734375" customWidth="1"/>
    <col min="14" max="14" width="10.6640625" bestFit="1" customWidth="1"/>
    <col min="16" max="16" width="10.6640625" bestFit="1" customWidth="1"/>
  </cols>
  <sheetData>
    <row r="1" spans="2:16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</row>
    <row r="2" spans="2:16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2:16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8"/>
    </row>
    <row r="4" spans="2:16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2:16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  <row r="6" spans="2:16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</row>
    <row r="7" spans="2:16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</row>
    <row r="8" spans="2:16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</row>
    <row r="9" spans="2:16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</row>
    <row r="10" spans="2:16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</row>
    <row r="11" spans="2:16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</row>
    <row r="12" spans="2:16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9"/>
    </row>
    <row r="13" spans="2:16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</v>
      </c>
      <c r="I13" s="64" t="s">
        <v>5</v>
      </c>
      <c r="J13" s="64" t="s">
        <v>6</v>
      </c>
      <c r="K13" s="64" t="s">
        <v>7</v>
      </c>
      <c r="L13" s="64" t="s">
        <v>8</v>
      </c>
      <c r="M13" s="64" t="s">
        <v>9</v>
      </c>
      <c r="N13" s="64" t="s">
        <v>10</v>
      </c>
      <c r="O13" s="64" t="s">
        <v>11</v>
      </c>
      <c r="P13" s="65" t="s">
        <v>12</v>
      </c>
    </row>
    <row r="14" spans="2:16" x14ac:dyDescent="0.3">
      <c r="B14" s="23">
        <v>1</v>
      </c>
      <c r="C14" s="2" t="s">
        <v>13</v>
      </c>
      <c r="D14" s="3" t="s">
        <v>99</v>
      </c>
      <c r="E14" s="3">
        <v>91.1</v>
      </c>
      <c r="F14" s="3" t="s">
        <v>97</v>
      </c>
      <c r="G14" s="9" t="s">
        <v>89</v>
      </c>
      <c r="H14" s="3">
        <v>1</v>
      </c>
      <c r="I14" s="4">
        <v>15</v>
      </c>
      <c r="J14" s="4">
        <v>10</v>
      </c>
      <c r="K14" s="4">
        <v>30</v>
      </c>
      <c r="L14" s="5">
        <f t="shared" ref="L14:L15" si="0">I14*J14*K14</f>
        <v>4500</v>
      </c>
      <c r="M14" s="10">
        <v>15</v>
      </c>
      <c r="N14" s="7">
        <f>M14*L14</f>
        <v>67500</v>
      </c>
      <c r="O14" s="7">
        <f>N14*18%</f>
        <v>12150</v>
      </c>
      <c r="P14" s="8">
        <f>N14+O14</f>
        <v>79650</v>
      </c>
    </row>
    <row r="15" spans="2:16" x14ac:dyDescent="0.3">
      <c r="B15" s="23">
        <v>2</v>
      </c>
      <c r="C15" s="2" t="s">
        <v>13</v>
      </c>
      <c r="D15" s="3" t="s">
        <v>99</v>
      </c>
      <c r="E15" s="3">
        <v>91.1</v>
      </c>
      <c r="F15" s="3" t="s">
        <v>98</v>
      </c>
      <c r="G15" s="9" t="s">
        <v>89</v>
      </c>
      <c r="H15" s="3">
        <v>1</v>
      </c>
      <c r="I15" s="4">
        <v>15</v>
      </c>
      <c r="J15" s="4">
        <v>10</v>
      </c>
      <c r="K15" s="4">
        <v>30</v>
      </c>
      <c r="L15" s="5">
        <f t="shared" si="0"/>
        <v>4500</v>
      </c>
      <c r="M15" s="10">
        <v>15</v>
      </c>
      <c r="N15" s="7">
        <f t="shared" ref="N15" si="1">M15*L15</f>
        <v>67500</v>
      </c>
      <c r="O15" s="7">
        <f t="shared" ref="O15" si="2">N15*18%</f>
        <v>12150</v>
      </c>
      <c r="P15" s="8">
        <f t="shared" ref="P15" si="3">N15+O15</f>
        <v>79650</v>
      </c>
    </row>
    <row r="16" spans="2:16" ht="16.2" thickBot="1" x14ac:dyDescent="0.35">
      <c r="B16" s="106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8"/>
    </row>
    <row r="17" spans="2:16" ht="15" thickBot="1" x14ac:dyDescent="0.35">
      <c r="B17" s="115" t="s">
        <v>16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7"/>
    </row>
    <row r="18" spans="2:16" x14ac:dyDescent="0.3">
      <c r="B18" s="94" t="s">
        <v>17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6"/>
    </row>
    <row r="19" spans="2:16" x14ac:dyDescent="0.3">
      <c r="B19" s="69" t="s">
        <v>18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1"/>
    </row>
    <row r="20" spans="2:16" ht="15" thickBot="1" x14ac:dyDescent="0.35">
      <c r="B20" s="72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</row>
  </sheetData>
  <mergeCells count="6">
    <mergeCell ref="B19:P19"/>
    <mergeCell ref="B20:P20"/>
    <mergeCell ref="B12:P12"/>
    <mergeCell ref="B16:P16"/>
    <mergeCell ref="B17:P17"/>
    <mergeCell ref="B18:P18"/>
  </mergeCells>
  <conditionalFormatting sqref="G14:G15">
    <cfRule type="containsBlanks" dxfId="1" priority="1">
      <formula>LEN(TRIM(G14))=0</formula>
    </cfRule>
  </conditionalFormatting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7FE1-A42A-47A6-86C3-7E92DA9B1800}">
  <dimension ref="B1:Q25"/>
  <sheetViews>
    <sheetView workbookViewId="0">
      <selection activeCell="A12" sqref="A12:XFD13"/>
    </sheetView>
  </sheetViews>
  <sheetFormatPr defaultColWidth="8.77734375" defaultRowHeight="14.4" x14ac:dyDescent="0.3"/>
  <cols>
    <col min="3" max="3" width="16.33203125" bestFit="1" customWidth="1"/>
    <col min="4" max="4" width="17.33203125" customWidth="1"/>
    <col min="5" max="5" width="13.33203125" customWidth="1"/>
    <col min="6" max="6" width="15.33203125" customWidth="1"/>
    <col min="7" max="7" width="16.77734375" bestFit="1" customWidth="1"/>
    <col min="8" max="8" width="13.33203125" customWidth="1"/>
    <col min="9" max="9" width="7.6640625" customWidth="1"/>
    <col min="10" max="11" width="11.44140625" customWidth="1"/>
    <col min="12" max="12" width="11.77734375" customWidth="1"/>
    <col min="15" max="15" width="10.6640625" bestFit="1" customWidth="1"/>
    <col min="17" max="17" width="10.6640625" bestFit="1" customWidth="1"/>
  </cols>
  <sheetData>
    <row r="1" spans="2:17" x14ac:dyDescent="0.3"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</row>
    <row r="2" spans="2:17" x14ac:dyDescent="0.3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2:17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2:17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2:17" x14ac:dyDescent="0.3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2:17" x14ac:dyDescent="0.3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x14ac:dyDescent="0.3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2:17" x14ac:dyDescent="0.3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2:17" x14ac:dyDescent="0.3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2:17" x14ac:dyDescent="0.3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2:17" ht="15" thickBot="1" x14ac:dyDescent="0.35"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1"/>
    </row>
    <row r="12" spans="2:17" ht="25.8" thickBot="1" x14ac:dyDescent="0.35">
      <c r="B12" s="97" t="s">
        <v>0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</row>
    <row r="13" spans="2:17" ht="46.8" x14ac:dyDescent="0.3">
      <c r="B13" s="63" t="s">
        <v>1</v>
      </c>
      <c r="C13" s="64" t="s">
        <v>19</v>
      </c>
      <c r="D13" s="64" t="s">
        <v>2</v>
      </c>
      <c r="E13" s="64" t="s">
        <v>20</v>
      </c>
      <c r="F13" s="64" t="s">
        <v>21</v>
      </c>
      <c r="G13" s="64" t="s">
        <v>3</v>
      </c>
      <c r="H13" s="64" t="s">
        <v>405</v>
      </c>
      <c r="I13" s="64" t="s">
        <v>4</v>
      </c>
      <c r="J13" s="64" t="s">
        <v>5</v>
      </c>
      <c r="K13" s="64" t="s">
        <v>6</v>
      </c>
      <c r="L13" s="64" t="s">
        <v>7</v>
      </c>
      <c r="M13" s="64" t="s">
        <v>8</v>
      </c>
      <c r="N13" s="64" t="s">
        <v>9</v>
      </c>
      <c r="O13" s="64" t="s">
        <v>10</v>
      </c>
      <c r="P13" s="64" t="s">
        <v>11</v>
      </c>
      <c r="Q13" s="65" t="s">
        <v>12</v>
      </c>
    </row>
    <row r="14" spans="2:17" x14ac:dyDescent="0.3">
      <c r="B14" s="23">
        <v>1</v>
      </c>
      <c r="C14" s="2" t="s">
        <v>13</v>
      </c>
      <c r="D14" s="3" t="s">
        <v>43</v>
      </c>
      <c r="E14" s="3">
        <v>91.9</v>
      </c>
      <c r="F14" s="3" t="s">
        <v>95</v>
      </c>
      <c r="G14" s="9" t="s">
        <v>90</v>
      </c>
      <c r="H14" s="9" t="s">
        <v>15</v>
      </c>
      <c r="I14" s="9" t="s">
        <v>15</v>
      </c>
      <c r="J14" s="4">
        <v>15</v>
      </c>
      <c r="K14" s="4">
        <v>10</v>
      </c>
      <c r="L14" s="4">
        <v>30</v>
      </c>
      <c r="M14" s="5">
        <f t="shared" ref="M14:M20" si="0">J14*K14*L14</f>
        <v>4500</v>
      </c>
      <c r="N14" s="25">
        <v>15</v>
      </c>
      <c r="O14" s="7">
        <f>N14*M14</f>
        <v>67500</v>
      </c>
      <c r="P14" s="7">
        <f>O14*18%</f>
        <v>12150</v>
      </c>
      <c r="Q14" s="8">
        <f>O14+P14</f>
        <v>79650</v>
      </c>
    </row>
    <row r="15" spans="2:17" x14ac:dyDescent="0.3">
      <c r="B15" s="23">
        <v>2</v>
      </c>
      <c r="C15" s="2" t="s">
        <v>13</v>
      </c>
      <c r="D15" s="3" t="s">
        <v>38</v>
      </c>
      <c r="E15" s="3">
        <v>92.7</v>
      </c>
      <c r="F15" s="3" t="s">
        <v>95</v>
      </c>
      <c r="G15" s="9" t="s">
        <v>90</v>
      </c>
      <c r="H15" s="9" t="s">
        <v>15</v>
      </c>
      <c r="I15" s="9" t="s">
        <v>15</v>
      </c>
      <c r="J15" s="4">
        <v>15</v>
      </c>
      <c r="K15" s="4">
        <v>10</v>
      </c>
      <c r="L15" s="4">
        <v>30</v>
      </c>
      <c r="M15" s="5">
        <f t="shared" si="0"/>
        <v>4500</v>
      </c>
      <c r="N15" s="25">
        <v>12</v>
      </c>
      <c r="O15" s="7">
        <f t="shared" ref="O15:O20" si="1">N15*M15</f>
        <v>54000</v>
      </c>
      <c r="P15" s="7">
        <f t="shared" ref="P15:P20" si="2">O15*18%</f>
        <v>9720</v>
      </c>
      <c r="Q15" s="8">
        <f t="shared" ref="Q15:Q20" si="3">O15+P15</f>
        <v>63720</v>
      </c>
    </row>
    <row r="16" spans="2:17" x14ac:dyDescent="0.3">
      <c r="B16" s="23">
        <v>3</v>
      </c>
      <c r="C16" s="2" t="s">
        <v>13</v>
      </c>
      <c r="D16" s="3" t="s">
        <v>47</v>
      </c>
      <c r="E16" s="3">
        <v>94.3</v>
      </c>
      <c r="F16" s="3" t="s">
        <v>95</v>
      </c>
      <c r="G16" s="9" t="s">
        <v>90</v>
      </c>
      <c r="H16" s="9" t="s">
        <v>15</v>
      </c>
      <c r="I16" s="9" t="s">
        <v>15</v>
      </c>
      <c r="J16" s="4">
        <v>15</v>
      </c>
      <c r="K16" s="4">
        <v>10</v>
      </c>
      <c r="L16" s="4">
        <v>30</v>
      </c>
      <c r="M16" s="5">
        <f t="shared" si="0"/>
        <v>4500</v>
      </c>
      <c r="N16" s="25">
        <v>15</v>
      </c>
      <c r="O16" s="7">
        <f t="shared" si="1"/>
        <v>67500</v>
      </c>
      <c r="P16" s="7">
        <f t="shared" si="2"/>
        <v>12150</v>
      </c>
      <c r="Q16" s="8">
        <f t="shared" si="3"/>
        <v>79650</v>
      </c>
    </row>
    <row r="17" spans="2:17" x14ac:dyDescent="0.3">
      <c r="B17" s="23">
        <v>4</v>
      </c>
      <c r="C17" s="2" t="s">
        <v>13</v>
      </c>
      <c r="D17" s="3" t="s">
        <v>27</v>
      </c>
      <c r="E17" s="3">
        <v>91.1</v>
      </c>
      <c r="F17" s="3" t="s">
        <v>96</v>
      </c>
      <c r="G17" s="9" t="s">
        <v>90</v>
      </c>
      <c r="H17" s="9" t="s">
        <v>92</v>
      </c>
      <c r="I17" s="9">
        <v>3</v>
      </c>
      <c r="J17" s="4">
        <v>15</v>
      </c>
      <c r="K17" s="4">
        <v>10</v>
      </c>
      <c r="L17" s="4">
        <v>30</v>
      </c>
      <c r="M17" s="5">
        <f t="shared" si="0"/>
        <v>4500</v>
      </c>
      <c r="N17" s="25">
        <v>18</v>
      </c>
      <c r="O17" s="7">
        <f t="shared" si="1"/>
        <v>81000</v>
      </c>
      <c r="P17" s="7">
        <f t="shared" si="2"/>
        <v>14580</v>
      </c>
      <c r="Q17" s="8">
        <f t="shared" si="3"/>
        <v>95580</v>
      </c>
    </row>
    <row r="18" spans="2:17" x14ac:dyDescent="0.3">
      <c r="B18" s="23">
        <v>5</v>
      </c>
      <c r="C18" s="2" t="s">
        <v>13</v>
      </c>
      <c r="D18" s="3" t="s">
        <v>42</v>
      </c>
      <c r="E18" s="3">
        <v>93.5</v>
      </c>
      <c r="F18" s="3" t="s">
        <v>96</v>
      </c>
      <c r="G18" s="9" t="s">
        <v>90</v>
      </c>
      <c r="H18" s="9" t="s">
        <v>93</v>
      </c>
      <c r="I18" s="9">
        <v>2</v>
      </c>
      <c r="J18" s="4">
        <v>15</v>
      </c>
      <c r="K18" s="4">
        <v>10</v>
      </c>
      <c r="L18" s="4">
        <v>30</v>
      </c>
      <c r="M18" s="5">
        <f t="shared" si="0"/>
        <v>4500</v>
      </c>
      <c r="N18" s="25">
        <v>25</v>
      </c>
      <c r="O18" s="7">
        <f t="shared" si="1"/>
        <v>112500</v>
      </c>
      <c r="P18" s="7">
        <f t="shared" si="2"/>
        <v>20250</v>
      </c>
      <c r="Q18" s="8">
        <f t="shared" si="3"/>
        <v>132750</v>
      </c>
    </row>
    <row r="19" spans="2:17" x14ac:dyDescent="0.3">
      <c r="B19" s="23">
        <v>6</v>
      </c>
      <c r="C19" s="2" t="s">
        <v>13</v>
      </c>
      <c r="D19" s="3" t="s">
        <v>38</v>
      </c>
      <c r="E19" s="12">
        <v>95</v>
      </c>
      <c r="F19" s="3" t="s">
        <v>96</v>
      </c>
      <c r="G19" s="9" t="s">
        <v>90</v>
      </c>
      <c r="H19" s="9" t="s">
        <v>94</v>
      </c>
      <c r="I19" s="9">
        <v>4</v>
      </c>
      <c r="J19" s="4">
        <v>15</v>
      </c>
      <c r="K19" s="4">
        <v>10</v>
      </c>
      <c r="L19" s="4">
        <v>30</v>
      </c>
      <c r="M19" s="5">
        <f t="shared" si="0"/>
        <v>4500</v>
      </c>
      <c r="N19" s="25">
        <v>20</v>
      </c>
      <c r="O19" s="7">
        <f t="shared" si="1"/>
        <v>90000</v>
      </c>
      <c r="P19" s="7">
        <f t="shared" si="2"/>
        <v>16200</v>
      </c>
      <c r="Q19" s="8">
        <f t="shared" si="3"/>
        <v>106200</v>
      </c>
    </row>
    <row r="20" spans="2:17" x14ac:dyDescent="0.3">
      <c r="B20" s="23">
        <v>7</v>
      </c>
      <c r="C20" s="2" t="s">
        <v>13</v>
      </c>
      <c r="D20" s="3" t="s">
        <v>41</v>
      </c>
      <c r="E20" s="3">
        <v>98.3</v>
      </c>
      <c r="F20" s="3" t="s">
        <v>96</v>
      </c>
      <c r="G20" s="9" t="s">
        <v>90</v>
      </c>
      <c r="H20" s="9" t="s">
        <v>91</v>
      </c>
      <c r="I20" s="9">
        <v>1</v>
      </c>
      <c r="J20" s="4">
        <v>15</v>
      </c>
      <c r="K20" s="4">
        <v>10</v>
      </c>
      <c r="L20" s="4">
        <v>30</v>
      </c>
      <c r="M20" s="5">
        <f t="shared" si="0"/>
        <v>4500</v>
      </c>
      <c r="N20" s="25">
        <v>30</v>
      </c>
      <c r="O20" s="7">
        <f t="shared" si="1"/>
        <v>135000</v>
      </c>
      <c r="P20" s="7">
        <f t="shared" si="2"/>
        <v>24300</v>
      </c>
      <c r="Q20" s="8">
        <f t="shared" si="3"/>
        <v>159300</v>
      </c>
    </row>
    <row r="21" spans="2:17" ht="16.2" thickBot="1" x14ac:dyDescent="0.35">
      <c r="B21" s="106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8"/>
    </row>
    <row r="22" spans="2:17" ht="15" thickBot="1" x14ac:dyDescent="0.35">
      <c r="B22" s="115" t="s">
        <v>16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7"/>
    </row>
    <row r="23" spans="2:17" x14ac:dyDescent="0.3">
      <c r="B23" s="94" t="s">
        <v>17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6"/>
    </row>
    <row r="24" spans="2:17" x14ac:dyDescent="0.3">
      <c r="B24" s="69" t="s">
        <v>18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1"/>
    </row>
    <row r="25" spans="2:17" ht="15" thickBot="1" x14ac:dyDescent="0.35">
      <c r="B25" s="72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4"/>
    </row>
  </sheetData>
  <mergeCells count="6">
    <mergeCell ref="B24:Q24"/>
    <mergeCell ref="B25:Q25"/>
    <mergeCell ref="B12:Q12"/>
    <mergeCell ref="B21:Q21"/>
    <mergeCell ref="B22:Q22"/>
    <mergeCell ref="B23:Q23"/>
  </mergeCells>
  <conditionalFormatting sqref="G14:I20">
    <cfRule type="containsBlanks" dxfId="0" priority="1">
      <formula>LEN(TRIM(G14))=0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Maharastra</vt:lpstr>
      <vt:lpstr>Rajasthan</vt:lpstr>
      <vt:lpstr>Uttar Pradesh</vt:lpstr>
      <vt:lpstr>West Bengal</vt:lpstr>
      <vt:lpstr>Delhi</vt:lpstr>
      <vt:lpstr>Haryana</vt:lpstr>
      <vt:lpstr>Assam</vt:lpstr>
      <vt:lpstr>Tamil Nadu</vt:lpstr>
      <vt:lpstr>Telangana</vt:lpstr>
      <vt:lpstr>Puducherry</vt:lpstr>
      <vt:lpstr>Gujarat</vt:lpstr>
      <vt:lpstr>Kerela</vt:lpstr>
      <vt:lpstr>Goa</vt:lpstr>
      <vt:lpstr>Orrisa</vt:lpstr>
      <vt:lpstr>Uttrakhand</vt:lpstr>
      <vt:lpstr>Meghalaya</vt:lpstr>
      <vt:lpstr>Tripura</vt:lpstr>
      <vt:lpstr>Sikkim</vt:lpstr>
      <vt:lpstr>Punjab &amp; Chandigarh</vt:lpstr>
      <vt:lpstr>Arunachal Pradesh</vt:lpstr>
      <vt:lpstr>Mizoram</vt:lpstr>
      <vt:lpstr>Karnataka</vt:lpstr>
      <vt:lpstr>Andhra Pradesh</vt:lpstr>
      <vt:lpstr>J&amp;K</vt:lpstr>
      <vt:lpstr>Himachal Pradesh</vt:lpstr>
      <vt:lpstr>Jharkhand</vt:lpstr>
      <vt:lpstr>Chhatisgarh</vt:lpstr>
      <vt:lpstr>MP</vt:lpstr>
      <vt:lpstr>Ladakh</vt:lpstr>
      <vt:lpstr>Bihar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Mahima Thakkar</cp:lastModifiedBy>
  <dcterms:created xsi:type="dcterms:W3CDTF">2015-06-05T18:17:20Z</dcterms:created>
  <dcterms:modified xsi:type="dcterms:W3CDTF">2026-09-29T11:24:36Z</dcterms:modified>
</cp:coreProperties>
</file>